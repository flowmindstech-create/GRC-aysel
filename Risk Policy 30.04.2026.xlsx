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ysel.rajabli\Desktop\Komitəyə çıxarılacaq işlər\Risk Policy\"/>
    </mc:Choice>
  </mc:AlternateContent>
  <bookViews>
    <workbookView xWindow="0" yWindow="0" windowWidth="19200" windowHeight="6345"/>
  </bookViews>
  <sheets>
    <sheet name="Risk metodologiyası" sheetId="1" r:id="rId1"/>
    <sheet name="Sheet1" sheetId="5" state="hidden" r:id="rId2"/>
    <sheet name="Control effektivliyi" sheetId="2" r:id="rId3"/>
    <sheet name="RSCA nümunə" sheetId="4"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0">#REF!</definedName>
    <definedName name="\C">#REF!</definedName>
    <definedName name="\E">#REF!</definedName>
    <definedName name="\F">#REF!</definedName>
    <definedName name="\I">#REF!</definedName>
    <definedName name="\J">#REF!</definedName>
    <definedName name="\M">#REF!</definedName>
    <definedName name="\mmm">#REF!</definedName>
    <definedName name="\N">#REF!</definedName>
    <definedName name="\P">#REF!</definedName>
    <definedName name="\S">#REF!</definedName>
    <definedName name="\T">#REF!</definedName>
    <definedName name="\X">#REF!</definedName>
    <definedName name="\Z">#REF!</definedName>
    <definedName name="_APP1">#REF!</definedName>
    <definedName name="_APP2">#REF!</definedName>
    <definedName name="_APP3">#REF!</definedName>
    <definedName name="_APP4">#REF!</definedName>
    <definedName name="_BYE1">#REF!</definedName>
    <definedName name="_BYE2">#REF!</definedName>
    <definedName name="_BYE3">#REF!</definedName>
    <definedName name="_BYE4">#REF!</definedName>
    <definedName name="_CAL1">#REF!</definedName>
    <definedName name="_CAL2">#REF!</definedName>
    <definedName name="_CAL3">#REF!</definedName>
    <definedName name="_CAL4">#REF!</definedName>
    <definedName name="_CHK1">#REF!</definedName>
    <definedName name="_CHK2">#REF!</definedName>
    <definedName name="_CHK3">#REF!</definedName>
    <definedName name="_CHK4">#REF!</definedName>
    <definedName name="_Col1">[1]Validation!$B$1:$AS$1</definedName>
    <definedName name="_Col31">[1]Validation!$B$31:$Q$31</definedName>
    <definedName name="_Col34">[1]Validation!$B$34:$C$34</definedName>
    <definedName name="_Col37">[1]Validation!$B$37:$M$37</definedName>
    <definedName name="_Col38">[1]Validation!$B$38:$C$38</definedName>
    <definedName name="_Col4">[1]Validation!$B$4:$BB$4</definedName>
    <definedName name="_Col42">[1]Validation!$B$42:$J$42</definedName>
    <definedName name="_Col5">[1]Validation!$B$5:$CW$5</definedName>
    <definedName name="_Col9">[1]Validation!$B$9:$H$9</definedName>
    <definedName name="_DAT1">#REF!</definedName>
    <definedName name="_DAT2">#REF!</definedName>
    <definedName name="_DAT3">#REF!</definedName>
    <definedName name="_DAT4">#REF!</definedName>
    <definedName name="_DCS1">#REF!</definedName>
    <definedName name="_DCS2">#REF!</definedName>
    <definedName name="_document1">#REF!</definedName>
    <definedName name="_ELP1">#REF!</definedName>
    <definedName name="_ELP2">#REF!</definedName>
    <definedName name="_ELP3">#REF!</definedName>
    <definedName name="_ELP4">#REF!</definedName>
    <definedName name="_FDT1">#REF!</definedName>
    <definedName name="_FDT2">#REF!</definedName>
    <definedName name="_FDT3">#REF!</definedName>
    <definedName name="_FDT4">#REF!</definedName>
    <definedName name="_Hlk92749844" localSheetId="0">'Risk metodologiyası'!$A$38</definedName>
    <definedName name="_HMB1">#REF!</definedName>
    <definedName name="_HMB2">#REF!</definedName>
    <definedName name="_IMP1">#REF!</definedName>
    <definedName name="_IMP2">#REF!</definedName>
    <definedName name="_IMP5">#REF!</definedName>
    <definedName name="_LIQ1">#REF!</definedName>
    <definedName name="_LIQ2">#REF!</definedName>
    <definedName name="_LIQ3">#REF!</definedName>
    <definedName name="_LIQ4">#REF!</definedName>
    <definedName name="_ODP1">#REF!</definedName>
    <definedName name="_ODP2">#REF!</definedName>
    <definedName name="_ODP3">#REF!</definedName>
    <definedName name="_ODP4">#REF!</definedName>
    <definedName name="_RAT1">#REF!</definedName>
    <definedName name="_RAT2">#REF!</definedName>
    <definedName name="_RAT3">#REF!</definedName>
    <definedName name="_RAT4">#REF!</definedName>
    <definedName name="_REV1">#REF!</definedName>
    <definedName name="_REV2">#REF!</definedName>
    <definedName name="_REV3">#REF!</definedName>
    <definedName name="_REV4">#REF!</definedName>
    <definedName name="_UPP1">#REF!</definedName>
    <definedName name="_UPP2">#REF!</definedName>
    <definedName name="_UPP3">#REF!</definedName>
    <definedName name="_UPP4">#REF!</definedName>
    <definedName name="_VIS1">#REF!</definedName>
    <definedName name="_VIS2">#REF!</definedName>
    <definedName name="_VIS3">#REF!</definedName>
    <definedName name="_VIS4">#REF!</definedName>
    <definedName name="_VP1">#REF!</definedName>
    <definedName name="_VP2">#REF!</definedName>
    <definedName name="_VP3">#REF!</definedName>
    <definedName name="_VP4">#REF!</definedName>
    <definedName name="_wdtah4">#REF!</definedName>
    <definedName name="ABPOW1">#REF!</definedName>
    <definedName name="ABPOW2">#REF!</definedName>
    <definedName name="ABPOW3">#REF!</definedName>
    <definedName name="ABPOW4">#REF!</definedName>
    <definedName name="ABPOWR">#REF!</definedName>
    <definedName name="Action">#REF!</definedName>
    <definedName name="addSelectedStreams">[2]Notes!addSelectedStreams</definedName>
    <definedName name="AliasSpec">'[3]Data Table'!#REF!</definedName>
    <definedName name="ANPSH1">#REF!</definedName>
    <definedName name="ANPSH2">#REF!</definedName>
    <definedName name="ANPSH3">#REF!</definedName>
    <definedName name="ANPSH4">#REF!</definedName>
    <definedName name="ANPSHR">#REF!</definedName>
    <definedName name="AREA">#REF!</definedName>
    <definedName name="AreaCode">#REF!</definedName>
    <definedName name="AreaSub">#REF!</definedName>
    <definedName name="Asset">[4]Data!$C$3:$C$6</definedName>
    <definedName name="Authority">#REF!</definedName>
    <definedName name="Authorization">#REF!</definedName>
    <definedName name="availStreamsList_Clicked">[2]Notes!availStreamsList_Clicked</definedName>
    <definedName name="b">#REF!</definedName>
    <definedName name="BalanceDlog.componentBtn_Clicked">[2]Notes!BalanceDlog.componentBtn_Clicked</definedName>
    <definedName name="BalanceDlog.streamDelete_Clicked">[2]Notes!BalanceDlog.streamDelete_Clicked</definedName>
    <definedName name="BalanceDlog.streamDown_Clicked">[2]Notes!BalanceDlog.streamDown_Clicked</definedName>
    <definedName name="BalanceDlog.streamUp_Clicked">[2]Notes!BalanceDlog.streamUp_Clicked</definedName>
    <definedName name="Budget_Status">'[5]Opportunity Eval Form Lists'!$M$4:$M$6</definedName>
    <definedName name="Business_Analyst_Contacts">'[5]Opportunity Eval Form Lists'!$F$4:$F$9</definedName>
    <definedName name="businessprocess">#REF!</definedName>
    <definedName name="C_">#REF!</definedName>
    <definedName name="CAL">#REF!</definedName>
    <definedName name="CALC2A">#REF!</definedName>
    <definedName name="CALC2B">#REF!</definedName>
    <definedName name="CALC2C">#REF!</definedName>
    <definedName name="CALC3A">#REF!</definedName>
    <definedName name="CALC3B">#REF!</definedName>
    <definedName name="CALC3C">#REF!</definedName>
    <definedName name="CALC4A">#REF!</definedName>
    <definedName name="CALC4B">#REF!</definedName>
    <definedName name="CALC4C">#REF!</definedName>
    <definedName name="CALCP1">#REF!</definedName>
    <definedName name="CALCP2">#REF!</definedName>
    <definedName name="CALCP3">#REF!</definedName>
    <definedName name="CALCR1">#REF!</definedName>
    <definedName name="CALCR2">#REF!</definedName>
    <definedName name="CASE1D">#REF!</definedName>
    <definedName name="CASE1U">#REF!</definedName>
    <definedName name="CASE2D">#REF!</definedName>
    <definedName name="CASE2U">#REF!</definedName>
    <definedName name="CASE3D">#REF!</definedName>
    <definedName name="CASE3U">#REF!</definedName>
    <definedName name="CASE4D">#REF!</definedName>
    <definedName name="CASE4U">#REF!</definedName>
    <definedName name="CASENO">#REF!</definedName>
    <definedName name="CASENUM">#REF!</definedName>
    <definedName name="CASEQ">#REF!</definedName>
    <definedName name="CatC">#REF!</definedName>
    <definedName name="Categories">#REF!</definedName>
    <definedName name="Category">#REF!</definedName>
    <definedName name="CHCOPY">#REF!</definedName>
    <definedName name="CHECK">#REF!</definedName>
    <definedName name="CivStruc">#REF!</definedName>
    <definedName name="CLEANUP">#REF!</definedName>
    <definedName name="CLIENT">#REF!</definedName>
    <definedName name="CNAME1">#REF!</definedName>
    <definedName name="CNAME2">#REF!</definedName>
    <definedName name="CNAME3">#REF!</definedName>
    <definedName name="CNAME4">#REF!</definedName>
    <definedName name="CODP1">#REF!</definedName>
    <definedName name="CODP2">#REF!</definedName>
    <definedName name="CODP3">#REF!</definedName>
    <definedName name="CODP4">#REF!</definedName>
    <definedName name="CODPR">#REF!</definedName>
    <definedName name="comp1">#REF!</definedName>
    <definedName name="comp2">#REF!</definedName>
    <definedName name="comp3">#REF!</definedName>
    <definedName name="comp4">#REF!</definedName>
    <definedName name="comp5">#REF!</definedName>
    <definedName name="comp6">#REF!</definedName>
    <definedName name="comp7">#REF!</definedName>
    <definedName name="CompDlg.compDown_Clicked">[2]Notes!CompDlg.compDown_Clicked</definedName>
    <definedName name="CompDlg.compList_Clicked">[2]Notes!CompDlg.compList_Clicked</definedName>
    <definedName name="CompDlg.compUp_Clicked">[2]Notes!CompDlg.compUp_Clicked</definedName>
    <definedName name="compDown_Clicked">[2]Notes!compDown_Clicked</definedName>
    <definedName name="compList_Clicked">[2]Notes!compList_Clicked</definedName>
    <definedName name="componentBtn_Clicked">[2]Notes!componentBtn_Clicked</definedName>
    <definedName name="ComponentsDry">#REF!</definedName>
    <definedName name="compUp_Clicked">[2]Notes!compUp_Clicked</definedName>
    <definedName name="CON">#REF!</definedName>
    <definedName name="conf">#REF!</definedName>
    <definedName name="Confidentiality">#REF!</definedName>
    <definedName name="Const">#REF!</definedName>
    <definedName name="CORRC">#REF!</definedName>
    <definedName name="CPDEP_Phases">'[5]Opportunity Eval Form Lists'!$J$4:$J$9</definedName>
    <definedName name="CVDP1">#REF!</definedName>
    <definedName name="CVDP2">#REF!</definedName>
    <definedName name="CVDP3">#REF!</definedName>
    <definedName name="CVDP4">#REF!</definedName>
    <definedName name="CVDPR">#REF!</definedName>
    <definedName name="d">#REF!</definedName>
    <definedName name="DATA1D">#REF!</definedName>
    <definedName name="DATA1U">#REF!</definedName>
    <definedName name="DATA2D">#REF!</definedName>
    <definedName name="DATA2U">#REF!</definedName>
    <definedName name="DATA3D">#REF!</definedName>
    <definedName name="DATA3U">#REF!</definedName>
    <definedName name="DATA4D">#REF!</definedName>
    <definedName name="DATA4U">#REF!</definedName>
    <definedName name="datasheet">[6]Index!$Q$3</definedName>
    <definedName name="DATE">#REF!</definedName>
    <definedName name="DCCASE1">#REF!</definedName>
    <definedName name="DCCASE2">#REF!</definedName>
    <definedName name="DCDATA1">#REF!</definedName>
    <definedName name="DCDATA2">#REF!</definedName>
    <definedName name="DCDOWN">#REF!</definedName>
    <definedName name="DCEND">#REF!</definedName>
    <definedName name="DCF">#REF!</definedName>
    <definedName name="DCFILE1">#REF!</definedName>
    <definedName name="DCFILE2">#REF!</definedName>
    <definedName name="DCFNO1">#REF!</definedName>
    <definedName name="DCFNO2">#REF!</definedName>
    <definedName name="DCSNO1">#REF!</definedName>
    <definedName name="DCSNO2">#REF!</definedName>
    <definedName name="DCSTRM1">#REF!</definedName>
    <definedName name="DCSTRM2">#REF!</definedName>
    <definedName name="DCUP">#REF!</definedName>
    <definedName name="deleteAvailableStreams">[2]Notes!deleteAvailableStreams</definedName>
    <definedName name="deleteSimFiles">[2]Notes!deleteSimFiles</definedName>
    <definedName name="DELPS">#REF!</definedName>
    <definedName name="DENS1">#REF!</definedName>
    <definedName name="DENS2">#REF!</definedName>
    <definedName name="DENS3">#REF!</definedName>
    <definedName name="DENS4">#REF!</definedName>
    <definedName name="DENSR">#REF!</definedName>
    <definedName name="DFDP1">#REF!</definedName>
    <definedName name="DFDP2">#REF!</definedName>
    <definedName name="DFDP3">#REF!</definedName>
    <definedName name="DFDP4">#REF!</definedName>
    <definedName name="DFDPR">#REF!</definedName>
    <definedName name="dialog.downArrow">[2]Notes!dialog.downArrow</definedName>
    <definedName name="dialog.listWasClicked">[2]Notes!dialog.listWasClicked</definedName>
    <definedName name="dialog.upArrow">[2]Notes!dialog.upArrow</definedName>
    <definedName name="Discipline">#REF!</definedName>
    <definedName name="DISP1">#REF!</definedName>
    <definedName name="DISP2">#REF!</definedName>
    <definedName name="DISP3">#REF!</definedName>
    <definedName name="DISP4">#REF!</definedName>
    <definedName name="DISPR">#REF!</definedName>
    <definedName name="Distrib_List">#REF!</definedName>
    <definedName name="DOCNO">#REF!</definedName>
    <definedName name="DocType">#REF!</definedName>
    <definedName name="DOWNP1">#REF!</definedName>
    <definedName name="DOWNP2">#REF!</definedName>
    <definedName name="DOWNP3">#REF!</definedName>
    <definedName name="DOWNP4">#REF!</definedName>
    <definedName name="DOWNPR">#REF!</definedName>
    <definedName name="DRIVE">#REF!</definedName>
    <definedName name="DRIVER">#REF!</definedName>
    <definedName name="DSTHD">#REF!</definedName>
    <definedName name="DSTHD1">#REF!</definedName>
    <definedName name="DSTHD2">#REF!</definedName>
    <definedName name="DSTHD3">#REF!</definedName>
    <definedName name="DSTHD4">#REF!</definedName>
    <definedName name="DSTHDR">#REF!</definedName>
    <definedName name="Elec">#REF!</definedName>
    <definedName name="ELPR">#REF!</definedName>
    <definedName name="EQDP1">#REF!</definedName>
    <definedName name="EQDP2">#REF!</definedName>
    <definedName name="EQDP3">#REF!</definedName>
    <definedName name="EQDP4">#REF!</definedName>
    <definedName name="EQDPR">#REF!</definedName>
    <definedName name="EQUIP1">#REF!</definedName>
    <definedName name="EQUIP2">#REF!</definedName>
    <definedName name="equipment">[6]Index!$Q$2</definedName>
    <definedName name="EQUIPNO">#REF!</definedName>
    <definedName name="ERASE1">#REF!</definedName>
    <definedName name="ERASE2">#REF!</definedName>
    <definedName name="ERASE3">#REF!</definedName>
    <definedName name="ERASE4">#REF!</definedName>
    <definedName name="EXDP1">#REF!</definedName>
    <definedName name="EXDP2">#REF!</definedName>
    <definedName name="EXDP3">#REF!</definedName>
    <definedName name="EXDP4">#REF!</definedName>
    <definedName name="EXDPR">#REF!</definedName>
    <definedName name="exportDir_Clicked">[2]Notes!exportDir_Clicked</definedName>
    <definedName name="Facility">#REF!</definedName>
    <definedName name="FILENAME">#REF!</definedName>
    <definedName name="GETCASE">#REF!</definedName>
    <definedName name="GETCN">#REF!</definedName>
    <definedName name="getExportPath">[2]Notes!getExportPath</definedName>
    <definedName name="gsgs">#REF!</definedName>
    <definedName name="HSSE">#REF!</definedName>
    <definedName name="HTML_CodePage" hidden="1">1252</definedName>
    <definedName name="HTML_Control" hidden="1">{"'CalcPad'!$A$1"}</definedName>
    <definedName name="HTML_Description" hidden="1">""</definedName>
    <definedName name="HTML_Email" hidden="1">""</definedName>
    <definedName name="HTML_Header" hidden="1">"CalcPad"</definedName>
    <definedName name="HTML_LastUpdate" hidden="1">"1/20/99"</definedName>
    <definedName name="HTML_LineAfter" hidden="1">FALSE</definedName>
    <definedName name="HTML_LineBefore" hidden="1">FALSE</definedName>
    <definedName name="HTML_Name" hidden="1">"M. W. Kellogg"</definedName>
    <definedName name="HTML_OBDlg2" hidden="1">TRUE</definedName>
    <definedName name="HTML_OBDlg4" hidden="1">TRUE</definedName>
    <definedName name="HTML_OS" hidden="1">0</definedName>
    <definedName name="HTML_PathFile" hidden="1">"C:\web\MyHTML.htm"</definedName>
    <definedName name="HTML_Title" hidden="1">"forms"</definedName>
    <definedName name="HYDP1">#REF!</definedName>
    <definedName name="HYDP2">#REF!</definedName>
    <definedName name="HYDP3">#REF!</definedName>
    <definedName name="HYDP4">#REF!</definedName>
    <definedName name="HYDPR">#REF!</definedName>
    <definedName name="IMP0">#REF!</definedName>
    <definedName name="IMPC1D">#REF!</definedName>
    <definedName name="IMPC1U">#REF!</definedName>
    <definedName name="IMPC2D">#REF!</definedName>
    <definedName name="IMPC2U">#REF!</definedName>
    <definedName name="IMPC3D">#REF!</definedName>
    <definedName name="IMPC3U">#REF!</definedName>
    <definedName name="IMPC4D">#REF!</definedName>
    <definedName name="IMPC4U">#REF!</definedName>
    <definedName name="IMPEND">#REF!</definedName>
    <definedName name="Implementation">#REF!</definedName>
    <definedName name="IMPMENU">#REF!</definedName>
    <definedName name="INDP">#REF!</definedName>
    <definedName name="InstCon">#REF!</definedName>
    <definedName name="IS_Skillsets_Required">'[5]Opportunity Eval Form Lists'!$G$4:$G$29</definedName>
    <definedName name="itemno">[6]Index!$U$1</definedName>
    <definedName name="jkhkjhkj">#REF!</definedName>
    <definedName name="JOB">#REF!</definedName>
    <definedName name="KontroleID">#REF!</definedName>
    <definedName name="LessonTypes">#REF!</definedName>
    <definedName name="LIQR">#REF!</definedName>
    <definedName name="lstSimFile_Clicked">[2]Notes!lstSimFile_Clicked</definedName>
    <definedName name="ltype">#REF!</definedName>
    <definedName name="MACRO">#REF!</definedName>
    <definedName name="MACROS">#REF!</definedName>
    <definedName name="man">#REF!</definedName>
    <definedName name="MARGDP1">#REF!</definedName>
    <definedName name="MARGDP2">#REF!</definedName>
    <definedName name="MARGDP3">#REF!</definedName>
    <definedName name="MARGDP4">#REF!</definedName>
    <definedName name="MARGDPR">#REF!</definedName>
    <definedName name="MARGIN1">#REF!</definedName>
    <definedName name="MARGIN2">#REF!</definedName>
    <definedName name="MARGIN3">#REF!</definedName>
    <definedName name="MARGIN4">#REF!</definedName>
    <definedName name="MARGINR">#REF!</definedName>
    <definedName name="MAXDNP">#REF!</definedName>
    <definedName name="MAXDNT">#REF!</definedName>
    <definedName name="MAXSP1">#REF!</definedName>
    <definedName name="MAXSP2">#REF!</definedName>
    <definedName name="MAXSP3">#REF!</definedName>
    <definedName name="MAXSP4">#REF!</definedName>
    <definedName name="MAXSPR">#REF!</definedName>
    <definedName name="MAXUPP">#REF!</definedName>
    <definedName name="MAXUPT">#REF!</definedName>
    <definedName name="MechEq">#REF!</definedName>
    <definedName name="MechPipe">#REF!</definedName>
    <definedName name="MENU1">#REF!</definedName>
    <definedName name="METDP1">#REF!</definedName>
    <definedName name="METDP2">#REF!</definedName>
    <definedName name="METDP3">#REF!</definedName>
    <definedName name="METDP4">#REF!</definedName>
    <definedName name="METDPR">#REF!</definedName>
    <definedName name="MINDNT">#REF!</definedName>
    <definedName name="MINUPT">#REF!</definedName>
    <definedName name="MISDP1">#REF!</definedName>
    <definedName name="MISDP2">#REF!</definedName>
    <definedName name="MISDP3">#REF!</definedName>
    <definedName name="MISDP4">#REF!</definedName>
    <definedName name="MISDPR">#REF!</definedName>
    <definedName name="Name">#REF!</definedName>
    <definedName name="NETP1">#REF!</definedName>
    <definedName name="NETP2">#REF!</definedName>
    <definedName name="NETP3">#REF!</definedName>
    <definedName name="NETP4">#REF!</definedName>
    <definedName name="NETPR">#REF!</definedName>
    <definedName name="NOTE">#REF!</definedName>
    <definedName name="NOTE0">#REF!</definedName>
    <definedName name="NOTE1">#REF!</definedName>
    <definedName name="NOTE4">#REF!</definedName>
    <definedName name="NOTES">#REF!</definedName>
    <definedName name="NOTESPC">#REF!</definedName>
    <definedName name="NPSHAV1">#REF!</definedName>
    <definedName name="NPSHAV2">#REF!</definedName>
    <definedName name="NPSHAV3">#REF!</definedName>
    <definedName name="NPSHAV4">#REF!</definedName>
    <definedName name="NPSHAVR">#REF!</definedName>
    <definedName name="NTMENU">#REF!</definedName>
    <definedName name="o">#REF!</definedName>
    <definedName name="ODPR">#REF!</definedName>
    <definedName name="Opcije">#REF!</definedName>
    <definedName name="Operational_Area">'[5]Opportunity Eval Form Lists'!$C$4:$C$21</definedName>
    <definedName name="OpsMaint">#REF!</definedName>
    <definedName name="Originator">#REF!</definedName>
    <definedName name="OUTDP">#REF!</definedName>
    <definedName name="p">#REF!</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Num">#REF!</definedName>
    <definedName name="PCALCR">#REF!</definedName>
    <definedName name="PEFF1">#REF!</definedName>
    <definedName name="PEFF2">#REF!</definedName>
    <definedName name="PEFF3">#REF!</definedName>
    <definedName name="PEFF4">#REF!</definedName>
    <definedName name="PEFFR">#REF!</definedName>
    <definedName name="PERC1">#REF!</definedName>
    <definedName name="PERC2">#REF!</definedName>
    <definedName name="PERC3">#REF!</definedName>
    <definedName name="PERC4">#REF!</definedName>
    <definedName name="PERCENT">#REF!</definedName>
    <definedName name="PERMES">#REF!</definedName>
    <definedName name="Pfd">[7]PFD!$B$4:$D$8</definedName>
    <definedName name="pfdAddClick">[2]Notes!pfdAddClick</definedName>
    <definedName name="pfdDeleteClick">[2]Notes!pfdDeleteClick</definedName>
    <definedName name="pfdDir_Clicked">[2]Notes!pfdDir_Clicked</definedName>
    <definedName name="pfdListClick">[2]Notes!pfdListClick</definedName>
    <definedName name="pfdModClick">[2]Notes!pfdModClick</definedName>
    <definedName name="Phase">#REF!</definedName>
    <definedName name="PRCALC1">#REF!</definedName>
    <definedName name="PRCALC2">#REF!</definedName>
    <definedName name="PRCALC3">#REF!</definedName>
    <definedName name="PRCALC4">#REF!</definedName>
    <definedName name="PRINT1">#REF!</definedName>
    <definedName name="PRINT2">#REF!</definedName>
    <definedName name="PRINT3">#REF!</definedName>
    <definedName name="PRINTD">#REF!</definedName>
    <definedName name="Priority">#REF!</definedName>
    <definedName name="PRNTEND">#REF!</definedName>
    <definedName name="PRNTMSG">#REF!</definedName>
    <definedName name="PRNTSCRN">#REF!</definedName>
    <definedName name="Proc">#REF!</definedName>
    <definedName name="Process">#REF!</definedName>
    <definedName name="ProcSafe">#REF!</definedName>
    <definedName name="Procurement">#REF!</definedName>
    <definedName name="Proj_Num">#REF!</definedName>
    <definedName name="projDir_Clicked">[2]Notes!projDir_Clicked</definedName>
    <definedName name="PROJECT">#REF!</definedName>
    <definedName name="Project_Managers_IS_Leads">'[5]Opportunity Eval Form Lists'!$D$4:$D$30</definedName>
    <definedName name="Project_Numbers">#REF!</definedName>
    <definedName name="Project_Size__L_M_S">'[5]Opportunity Eval Form Lists'!$H$4:$H$6</definedName>
    <definedName name="Project_Status">'[5]Opportunity Eval Form Lists'!$K$4:$K$7</definedName>
    <definedName name="Project_Type">'[5]Opportunity Eval Form Lists'!$I$4:$I$5</definedName>
    <definedName name="ProjectType">#REF!</definedName>
    <definedName name="ProjMan">#REF!</definedName>
    <definedName name="PUMPDP1">#REF!</definedName>
    <definedName name="PUMPDP2">#REF!</definedName>
    <definedName name="PUMPDP3">#REF!</definedName>
    <definedName name="PUMPDP4">#REF!</definedName>
    <definedName name="PUMPDPR">#REF!</definedName>
    <definedName name="PUMPHD1">#REF!</definedName>
    <definedName name="PUMPHD2">#REF!</definedName>
    <definedName name="PUMPHD3">#REF!</definedName>
    <definedName name="PUMPHD4">#REF!</definedName>
    <definedName name="PUMPHDR">#REF!</definedName>
    <definedName name="QUIT">#REF!</definedName>
    <definedName name="RATED">#REF!</definedName>
    <definedName name="RATNO1">#REF!</definedName>
    <definedName name="RATNO2">#REF!</definedName>
    <definedName name="Readiness">[4]Data!$J$3:$J$5</definedName>
    <definedName name="RESET">#REF!</definedName>
    <definedName name="Responsible_IS_Area">'[5]Opportunity Eval Form Lists'!$A$4:$A$9</definedName>
    <definedName name="Result">#REF!</definedName>
    <definedName name="REV">#REF!</definedName>
    <definedName name="REVNAME1">#REF!</definedName>
    <definedName name="REVNAME2">#REF!</definedName>
    <definedName name="REVNAME3">#REF!</definedName>
    <definedName name="REVNAME4">#REF!</definedName>
    <definedName name="REVNO">#REF!</definedName>
    <definedName name="RNT">#REF!</definedName>
    <definedName name="RSOFF1">#REF!</definedName>
    <definedName name="RSOFF2">#REF!</definedName>
    <definedName name="RSOFF3">#REF!</definedName>
    <definedName name="RSOFF4">#REF!</definedName>
    <definedName name="RSOFFR">#REF!</definedName>
    <definedName name="RTBRNCH">#REF!</definedName>
    <definedName name="SAVE">#REF!</definedName>
    <definedName name="selectedStreamsList_Clicked">[2]Notes!selectedStreamsList_Clicked</definedName>
    <definedName name="Sequence">'[8]DNR-ACG SD'!#REF!</definedName>
    <definedName name="SET">#REF!</definedName>
    <definedName name="SET0">#REF!</definedName>
    <definedName name="SFDP1">#REF!</definedName>
    <definedName name="SFDP2">#REF!</definedName>
    <definedName name="SFDP3">#REF!</definedName>
    <definedName name="SFDP4">#REF!</definedName>
    <definedName name="SFDPR">#REF!</definedName>
    <definedName name="SHUTR">#REF!</definedName>
    <definedName name="simFilesDialog">[2]Notes!simFilesDialog</definedName>
    <definedName name="SimFilesDir_Clicked">[2]Notes!SimFilesDir_Clicked</definedName>
    <definedName name="Sites_Depts_Impacted">'[5]Opportunity Eval Form Lists'!$B$4:$B$23</definedName>
    <definedName name="SKETCH">#REF!</definedName>
    <definedName name="SKTCH1">#REF!</definedName>
    <definedName name="SKTCH2">#REF!</definedName>
    <definedName name="SRCEP1">#REF!</definedName>
    <definedName name="SRCEP2">#REF!</definedName>
    <definedName name="SRCEP3">#REF!</definedName>
    <definedName name="SRCEP4">#REF!</definedName>
    <definedName name="SRCEPR">#REF!</definedName>
    <definedName name="SSTHD">#REF!</definedName>
    <definedName name="SSTHD1">#REF!</definedName>
    <definedName name="SSTHD2">#REF!</definedName>
    <definedName name="SSTHD3">#REF!</definedName>
    <definedName name="SSTHD4">#REF!</definedName>
    <definedName name="SSTHDR">#REF!</definedName>
    <definedName name="STAN">#REF!</definedName>
    <definedName name="Status">#REF!</definedName>
    <definedName name="Stream_No.">#REF!</definedName>
    <definedName name="streamAdd_Clicked">[2]Notes!streamAdd_Clicked</definedName>
    <definedName name="streamAddClicked">[2]Notes!streamAddClicked</definedName>
    <definedName name="streamDelete_Clicked">[2]Notes!streamDelete_Clicked</definedName>
    <definedName name="streamDown_Clicked">[2]Notes!streamDown_Clicked</definedName>
    <definedName name="StreamList">'[3]Data Table'!#REF!</definedName>
    <definedName name="streamList_Clicked">[2]Notes!streamList_Clicked</definedName>
    <definedName name="streamUp_Clicked">[2]Notes!streamUp_Clicked</definedName>
    <definedName name="STRM1D">#REF!</definedName>
    <definedName name="STRM1U">#REF!</definedName>
    <definedName name="STRM2D">#REF!</definedName>
    <definedName name="STRM2U">#REF!</definedName>
    <definedName name="STRM3D">#REF!</definedName>
    <definedName name="STRM3U">#REF!</definedName>
    <definedName name="STRM4D">#REF!</definedName>
    <definedName name="STRM4U">#REF!</definedName>
    <definedName name="STRMESS">#REF!</definedName>
    <definedName name="STRMNAME">#REF!</definedName>
    <definedName name="SubCategories">#REF!</definedName>
    <definedName name="SUCDPR">#REF!</definedName>
    <definedName name="SUCP1">#REF!</definedName>
    <definedName name="SUCP2">#REF!</definedName>
    <definedName name="SUCP3">#REF!</definedName>
    <definedName name="SUCP4">#REF!</definedName>
    <definedName name="SymbolTable">[7]Symbols!$A$2:$C$74</definedName>
    <definedName name="SYSTEM">#REF!</definedName>
    <definedName name="TableList">'[1]Table List'!$A$1:$A$38</definedName>
    <definedName name="TEMP1">#REF!</definedName>
    <definedName name="TEMP2">#REF!</definedName>
    <definedName name="TEMP3">#REF!</definedName>
    <definedName name="TEMP4">#REF!</definedName>
    <definedName name="TEMPR">#REF!</definedName>
    <definedName name="TffDir_Clicked">[2]Notes!TffDir_Clicked</definedName>
    <definedName name="TKW">#REF!</definedName>
    <definedName name="Total_Pages__28">#REF!</definedName>
    <definedName name="totalpages">#REF!</definedName>
    <definedName name="Traffic_Light_Status">'[5]Opportunity Eval Form Lists'!$L$4:$L$8</definedName>
    <definedName name="Trigger">#REF!</definedName>
    <definedName name="UPPR">#REF!</definedName>
    <definedName name="v">#REF!</definedName>
    <definedName name="VFLOW1">#REF!</definedName>
    <definedName name="VFLOW2">#REF!</definedName>
    <definedName name="VFLOW3">#REF!</definedName>
    <definedName name="VFLOW4">#REF!</definedName>
    <definedName name="VFLOWR">#REF!</definedName>
    <definedName name="visioDir_Clicked">[2]Notes!visioDir_Clicked</definedName>
    <definedName name="VISR">#REF!</definedName>
    <definedName name="VPR">#REF!</definedName>
    <definedName name="WFLOW">#REF!</definedName>
    <definedName name="WFLOW1">#REF!</definedName>
    <definedName name="WFLOW2">#REF!</definedName>
    <definedName name="WFLOW3">#REF!</definedName>
    <definedName name="WFLOW4">#REF!</definedName>
    <definedName name="WFLOWR">#REF!</definedName>
    <definedName name="WpDocType">#REF!</definedName>
    <definedName name="WPDocumentType.">#REF!</definedName>
    <definedName name="x">#REF!</definedName>
    <definedName name="YesNo">#REF!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2" i="4" l="1"/>
  <c r="Y2" i="4"/>
  <c r="W2" i="4"/>
  <c r="S75" i="1" l="1"/>
  <c r="R75" i="1"/>
  <c r="Q75" i="1"/>
  <c r="V75" i="1" s="1"/>
  <c r="F6" i="1"/>
  <c r="G6" i="1" s="1"/>
  <c r="H6" i="1" s="1"/>
  <c r="I6" i="1" s="1"/>
  <c r="F4" i="1"/>
  <c r="G4" i="1" s="1"/>
  <c r="H4" i="1" s="1"/>
  <c r="I4" i="1" s="1"/>
  <c r="F3" i="1"/>
  <c r="G3" i="1" s="1"/>
  <c r="H3" i="1" s="1"/>
  <c r="I3" i="1" s="1"/>
  <c r="F2" i="1"/>
  <c r="I2" i="1" s="1"/>
  <c r="G2" i="1" l="1"/>
  <c r="H2" i="1"/>
</calcChain>
</file>

<file path=xl/comments1.xml><?xml version="1.0" encoding="utf-8"?>
<comments xmlns="http://schemas.openxmlformats.org/spreadsheetml/2006/main">
  <authors>
    <author>Aysel Rajabli</author>
  </authors>
  <commentList>
    <comment ref="S25" authorId="0" shapeId="0">
      <text>
        <r>
          <rPr>
            <b/>
            <sz val="9"/>
            <color indexed="81"/>
            <rFont val="Tahoma"/>
            <family val="2"/>
          </rPr>
          <t>Aysel Rajabli:</t>
        </r>
        <r>
          <rPr>
            <sz val="9"/>
            <color indexed="81"/>
            <rFont val="Tahoma"/>
            <family val="2"/>
          </rPr>
          <t xml:space="preserve">
1 hadisənin baş verməsi ehtimalı:
P(risk)=1−(1−p)n </t>
        </r>
      </text>
    </comment>
    <comment ref="U61" authorId="0" shapeId="0">
      <text>
        <r>
          <rPr>
            <b/>
            <sz val="9"/>
            <color indexed="81"/>
            <rFont val="Tahoma"/>
            <charset val="1"/>
          </rPr>
          <t>Aysel Rajabli:</t>
        </r>
        <r>
          <rPr>
            <sz val="9"/>
            <color indexed="81"/>
            <rFont val="Tahoma"/>
            <charset val="1"/>
          </rPr>
          <t xml:space="preserve">
Bunlaın açıqlanması digər shhet-də qeyd edilib. Ona əsaslanır.
</t>
        </r>
      </text>
    </comment>
  </commentList>
</comments>
</file>

<file path=xl/sharedStrings.xml><?xml version="1.0" encoding="utf-8"?>
<sst xmlns="http://schemas.openxmlformats.org/spreadsheetml/2006/main" count="429" uniqueCount="308">
  <si>
    <t>İnterest</t>
  </si>
  <si>
    <t>Kritik</t>
  </si>
  <si>
    <t>Yüksək</t>
  </si>
  <si>
    <t>Orta</t>
  </si>
  <si>
    <t>Az</t>
  </si>
  <si>
    <t>Minimal</t>
  </si>
  <si>
    <t>Gəlirlilik</t>
  </si>
  <si>
    <t>Yüksək&lt;</t>
  </si>
  <si>
    <t>Ebitda</t>
  </si>
  <si>
    <t>Cəmi aktivlər</t>
  </si>
  <si>
    <t>Mənfəət</t>
  </si>
  <si>
    <t>Minimal
2</t>
  </si>
  <si>
    <t xml:space="preserve">1
Minimal </t>
  </si>
  <si>
    <t>×</t>
  </si>
  <si>
    <t>*</t>
  </si>
  <si>
    <t>Minimal
1-4</t>
  </si>
  <si>
    <t>Risk</t>
  </si>
  <si>
    <t>Cəmi qiymətləmdirilmə</t>
  </si>
  <si>
    <t>Nəzarət reytinqi</t>
  </si>
  <si>
    <t>Nisbətən güclü</t>
  </si>
  <si>
    <t>1-Təsir Şkalası</t>
  </si>
  <si>
    <t>Təsir reytinqi</t>
  </si>
  <si>
    <t>Təsir dərəcəsi</t>
  </si>
  <si>
    <t>Maliyyə</t>
  </si>
  <si>
    <t xml:space="preserve">
Reputasiya</t>
  </si>
  <si>
    <t xml:space="preserve">
Əməliyyat</t>
  </si>
  <si>
    <t xml:space="preserve">
Biznes prosesi</t>
  </si>
  <si>
    <t xml:space="preserve">
Minimal</t>
  </si>
  <si>
    <t xml:space="preserve">
Aşağı</t>
  </si>
  <si>
    <t>Maksimum</t>
  </si>
  <si>
    <t>İş prosesində heç bir cərimə və ya nüfuza xələl gətirmə riski olmayan qanuni tələblərin pozulması var.</t>
  </si>
  <si>
    <t xml:space="preserve">
Reputasiyaya heç bir ziyan dəyməyib.</t>
  </si>
  <si>
    <t>1. Mülki şikayətlərin olması (3-dən çox və nüfuz və ya maliyyə itkisi riski yaratmır)
2.Məhkəmədə baxılan işlərin olması (3-dən çox, müxtəlif kateqoriyalı işlərin olması və bununla bağlı sosial şəbəkələrdə 1 həftədən çox şərhlər)</t>
  </si>
  <si>
    <t xml:space="preserve">
1. Əməliyyat prosesinə təsir edən işlərin 10%-i yerinə yetirilməmişdir. 2. Proseslərə heç bir mənfi təsir olmadı.</t>
  </si>
  <si>
    <t>1. Əməliyyat prosesinə təsir edən işlərin 20%-i tamamlanmayıb. 2. Proseslərin həyata keçirilməsinə cüzi (50%-dən az) mənfi təsir, prosesdən yayınma (10%-dən az) olmuşdur.</t>
  </si>
  <si>
    <t>Sətəm</t>
  </si>
  <si>
    <t>2-İT üçün təsir</t>
  </si>
  <si>
    <t xml:space="preserve">
İT Risk Təsiri
</t>
  </si>
  <si>
    <t xml:space="preserve">
Dərəcə</t>
  </si>
  <si>
    <t xml:space="preserve">
Məxfilik</t>
  </si>
  <si>
    <t>Dürüstlük</t>
  </si>
  <si>
    <t xml:space="preserve">
Mövcudluq</t>
  </si>
  <si>
    <t>Aşağı</t>
  </si>
  <si>
    <t>Maksimal</t>
  </si>
  <si>
    <t>Sızdırılmış məlumat ≤ 10% (PII deyil).</t>
  </si>
  <si>
    <t>Dəyişən məlumat ≤ 10% və proseslərdə səhvlərə səbəb olmur. Düzəliş vaxtı ≤ 10 dəqiqə.</t>
  </si>
  <si>
    <t xml:space="preserve">
Xidmətin kəsilməsi ≤ 5 dəqiqə. SLA pozulmayıb</t>
  </si>
  <si>
    <t>Sızdırılmış məlumatlar 10-20% (məhdud daxili məlumat). Qanuni tələb yoxdur.</t>
  </si>
  <si>
    <t>Məlumat 10% -20% arasında dəyişdi. Hesabatlarda uyğunsuzluq (işin və prosesin həcmindən asılı olaraq 10%-20%) Korreksiya ≤ 1 saat.</t>
  </si>
  <si>
    <t>Kəsinti 6-30 dəqiqə. Xidmət və əməliyyat proseslərində gecikmələr.</t>
  </si>
  <si>
    <t>Kiberhücum baş verir. Sızdırılmış məlumatlar, məlumatların oğurlanması 21%-50% (şəxsi məlumatlar). Daxili və məxfi məlumatların açıqlanması. Araşdırma tələb olunur.</t>
  </si>
  <si>
    <t>Məlumatda 21% - 50% dəyişiklik. Maliyyə hesablamalarına təsir edir. Düzəliş ≤ 4 saat</t>
  </si>
  <si>
    <t xml:space="preserve">
Kiberhücum və ya fişinq baş verir. Sızdırılmış məlumatlar, məlumat oğurluğu 51%-70% (PII, maliyyə sənədləri). Tənzimləyiciyə bildiriş tələb olunur</t>
  </si>
  <si>
    <t xml:space="preserve">
Məlumatda 51% - 70% dəyişiklik. Əməliyyatlar səhv yerinə yetirilir. Düzəliş ≤ 1 gün.</t>
  </si>
  <si>
    <t>Kiberhücum və ya fişinq baş verir. Sızdırılmış məlumatlar, məlumat oğurluğu 71%+ və ya yüksək həssas məlumatlar, sektor məlumatlarının tutulması. Hüquqi sanksiya, reputasiyanın itirilməsi, medianın ifşası</t>
  </si>
  <si>
    <t>Məlumatda 71%+ dəyişiklik. Əməliyyatlar dayandırılır və ya səhv icra edilir. Düzəliş müddəti 1 gün+</t>
  </si>
  <si>
    <t>3-Ehtimal</t>
  </si>
  <si>
    <t>Təsvir</t>
  </si>
  <si>
    <t>Nadir</t>
  </si>
  <si>
    <t>Ehtimal</t>
  </si>
  <si>
    <t>3
Mümkün</t>
  </si>
  <si>
    <t>1
Nadir</t>
  </si>
  <si>
    <t>3
Orta</t>
  </si>
  <si>
    <t>2
Aşağı</t>
  </si>
  <si>
    <t>4
Yüksək</t>
  </si>
  <si>
    <t xml:space="preserve">5
Maksimum </t>
  </si>
  <si>
    <t>*Maksimum Təsir üçün Xüsusi Qayda - Risk reytinqindən asılı olmayaraq, təsir 5 olarsa, risk səviyyəsi avtomatik olaraq ən azı Orta səviyyəyə yüksələcək</t>
  </si>
  <si>
    <t>4-Təbii Risk</t>
  </si>
  <si>
    <t>5-Riskin müalicəsi</t>
  </si>
  <si>
    <t xml:space="preserve">
Seçim</t>
  </si>
  <si>
    <t>Qəbuletmə</t>
  </si>
  <si>
    <t>Ötürmə</t>
  </si>
  <si>
    <t>Yumşaltma</t>
  </si>
  <si>
    <t>Çəkinmə</t>
  </si>
  <si>
    <t>Fəaliyyət planı</t>
  </si>
  <si>
    <t xml:space="preserve">
Təbii risk reytinqi</t>
  </si>
  <si>
    <t xml:space="preserve">
Nəzarətdə saxlayın və nəzərdən keçirin (tolerant)</t>
  </si>
  <si>
    <t>Sığorta edin və ya başqa tərəfə/tərəfdaşa köçürün</t>
  </si>
  <si>
    <t>Riskin baş vermə ehtimalını azaltmaq və ya riskə son qoymaq üçün tədbirlər görmək</t>
  </si>
  <si>
    <t xml:space="preserve">
Ərazidən təcrid olunmaq və ya risk azalana qədər xidmət göstərməmək</t>
  </si>
  <si>
    <t>Kritik
20-25</t>
  </si>
  <si>
    <t>Yüksək
12-16</t>
  </si>
  <si>
    <t>Orta
8-10</t>
  </si>
  <si>
    <t>Aşağı
4-6</t>
  </si>
  <si>
    <t>6-Nəzarət reytinqi</t>
  </si>
  <si>
    <t xml:space="preserve">
Nəzarət reytinqi</t>
  </si>
  <si>
    <t xml:space="preserve">Güclü </t>
  </si>
  <si>
    <t xml:space="preserve">Nisbətən güclü </t>
  </si>
  <si>
    <t>Adekvat</t>
  </si>
  <si>
    <t>Nisbətən adekvat</t>
  </si>
  <si>
    <t xml:space="preserve">
Zəif və ya yox</t>
  </si>
  <si>
    <t>Uyğunluq</t>
  </si>
  <si>
    <t>Nəzarət və idarəetmənin həyata keçirilməsi mühafizələri gücləndirir və risklərdən qorunmaq üçün şərait yaradır. Risklərin əsas sürətlənməsini və ya təsirini azaldın. Lakin bu, strukturun fəaliyyətində riskin olmaması və ya 0-a bərabər olması demək deyil.</t>
  </si>
  <si>
    <t>Nəzarət alətləri və həyata keçirilən tədbirlər adekvatdır və risklərin ehtimalını və təsirini azaltmağa imkan verir. Bununla belə, nəzarət vasitələrinin effektivliyini təkmilləşdirmək və gücləndirmək imkanları mövcuddur.</t>
  </si>
  <si>
    <t>Nəzarət alətləri və həyata keçirilən tədbirlər risklərin idarə olunmasında və ya onların baş vermə ehtimalının və təsirinin azaldılmasında effektivdir, lakin risklər baş verə bilər. Nəzarət alətlərinin inkişafı və əlavə kompensasiya nəzarət vasitələrinin əlavə edilməsi qalıq riskləri azalda bilər.</t>
  </si>
  <si>
    <t>Nəzarət alətləri və həyata keçirilən tədbirlər riski aşağı səviyyəyə endirməyə imkan verir. Əsas boşluqlar və nəzarət nöqsanları aşkar edilmişdir.</t>
  </si>
  <si>
    <t>Nəzarət alətləri və həyata keçirilən tədbirlər planı risklərin effektiv idarə olunmasına imkan vermir. Risklərin tezliyində və təsirində azalma yoxdur.</t>
  </si>
  <si>
    <t>O, risklərin qarşısının alınmasının bütün vacib aspektlərində adekvatdır və minimal təkmilləşdirmə tələb edir və istinad edilən daxili metodoloji sənədlərdə standart və qabaqcıl təcrübələr üzrə 90%-ə qədər bal nəzərə alınır.</t>
  </si>
  <si>
    <t>Riskin qarşısının alınması üçün bir sıra sahələrdə qeyri-adekvatdır və orta dərəcədə təkmilləşdirməyə ehtiyacı var. İstinad edilən daxili metodiki sənədlərdə standart və qabaqcıl təcrübələr üzrə balların 70%-ə qədəri nəzərə alınır</t>
  </si>
  <si>
    <t>Riskin qarşısını almaq üçün bir sıra aspektlərdə qeyri-adekvatdır və əhəmiyyətli təkmilləşdirmə tələb olunur. İstinad edilən daxili metodoloji sənədlərdə standart və qabaqcıl təcrübələrin 50%-ə qədəri nəzərə alınır.</t>
  </si>
  <si>
    <t>Bu, bir sıra aspektlərdə qeyri-adekvatdır və ya riskin qarşısını almaq üçün standartlara və ən yaxşı təcrübələrə cavab vermir və əlavə nəzarət mexanizmlərini cəlb etməklə nəzarətin genişləndirilməsinə təcili ehtiyac var.</t>
  </si>
  <si>
    <t>7-Nəzarət effektivliyinin reytinqi</t>
  </si>
  <si>
    <t>Nəzarət Mexanizmləri</t>
  </si>
  <si>
    <t>Nəzarət qiymətləndirmə cədvəli və nümunəsi</t>
  </si>
  <si>
    <t>Hücumçular WAF-dan yan keçərək SQLi-dən istifadə edirlər</t>
  </si>
  <si>
    <t>Tətik</t>
  </si>
  <si>
    <t>Kəsinti 31 dəqiqə - 2 saat. Müştərilərin 21-50%-i xidmət ala bilmir.</t>
  </si>
  <si>
    <t xml:space="preserve">
Kəsinti 12 saatdan çox. Əsas biznes funksiyaları dayandırılır. SLA 71%+ pozulub. Tənzimləyiciyə bildiriş tələb olunur, medianın açıqlanması.</t>
  </si>
  <si>
    <t>Çox ehtimal edilən</t>
  </si>
  <si>
    <t>Az ehtimal edilən</t>
  </si>
  <si>
    <t>2
Az ehtimal edilən</t>
  </si>
  <si>
    <t>4
Çox ehtimal edilən</t>
  </si>
  <si>
    <t>5
Mütəmadi</t>
  </si>
  <si>
    <t>Uyğunluq/Qanuni</t>
  </si>
  <si>
    <t xml:space="preserve">Strategiya </t>
  </si>
  <si>
    <t>Strategiyanın icrası zamanı hər hansı neqativ təsir müəyyən edilmədi</t>
  </si>
  <si>
    <t>Kritik risklər və ya fors-maor hallar</t>
  </si>
  <si>
    <t>Əsas proses işçilərinin(Key person) illik dövriyyəsi 5% təşkil edir.
Vakansiyalar təyin edilmiş müddət çərçivəsində bağlanır
Sənədləşmələr aktualdır və heç bir xəta yoxdur
Əməliyyatların icrasına təsir edmir.</t>
  </si>
  <si>
    <t xml:space="preserve">Əsas proses işçilərinin illik dövriyyəsi 16%-20% təşkil edir.Vəzifə və səlahiyyət bölgüləri pozulur.
İş proseslərinin dayanmasının 70%-80%- ə artması və sənədləşmələrin aparılmaması
</t>
  </si>
  <si>
    <t>Əsas proses işçilərinin illik dövriyyəsi 21%-25% və yuxarıdır.
Kütləvi iş çıxışlarının yaranması
Kritik funksiyaların icra edilməməsi.
Sənədləşmələrin aparılmaması
Regulyator tərəfindən iradlar 
BCP-nin aktivləşmə riskinin yaranması</t>
  </si>
  <si>
    <t>Probability(Likelyhood)</t>
  </si>
  <si>
    <t>Təsir Balı</t>
  </si>
  <si>
    <t xml:space="preserve">Təsir Dərəcəsi </t>
  </si>
  <si>
    <t>Hadisənin tezliyi</t>
  </si>
  <si>
    <t>Hadisənin ehtimalı( bir illik dövr ərzində)</t>
  </si>
  <si>
    <t>&lt;5%</t>
  </si>
  <si>
    <t>5%-10%</t>
  </si>
  <si>
    <t xml:space="preserve">Mümkün </t>
  </si>
  <si>
    <t>11%-20%</t>
  </si>
  <si>
    <t>21-50%</t>
  </si>
  <si>
    <t>Mütəmadi</t>
  </si>
  <si>
    <t>&gt;50%</t>
  </si>
  <si>
    <t>Kəsinti 2 saat – 8 saat. Kritik proseslər, biznes üçün vacib proseslər dayandırılıb. SLA 51%-71% pozulub.</t>
  </si>
  <si>
    <t>Nəzarət effektivliyi</t>
  </si>
  <si>
    <t>Qalıq Risk Reytinqi</t>
  </si>
  <si>
    <t>5
Zəif və ya yoxdur</t>
  </si>
  <si>
    <t>4
Nisbətən Adekvat</t>
  </si>
  <si>
    <t>3
Adekvat</t>
  </si>
  <si>
    <t>2
Nisbətən Güclü</t>
  </si>
  <si>
    <t>1
Güclü</t>
  </si>
  <si>
    <t>1
Minimal</t>
  </si>
  <si>
    <t>Qalıq Risk</t>
  </si>
  <si>
    <t>5
Çox Yüksək</t>
  </si>
  <si>
    <t>Çox Yüksək</t>
  </si>
  <si>
    <t xml:space="preserve">Risk Gap </t>
  </si>
  <si>
    <t>Risk Gap=Residual Risk-Traget Risk</t>
  </si>
  <si>
    <t xml:space="preserve">Əsas Əməkdaşların və Ali rəhbərin mövcud olmaması
Əsas işçi qüvvəsinin 26%-50%-ədək itirilməsi
BCP-nin aktivləşməsi
</t>
  </si>
  <si>
    <t>1000-ədək AZN</t>
  </si>
  <si>
    <t>10.001-100.000 aralığı AZN</t>
  </si>
  <si>
    <t>1001-10.000 AZN aralığı</t>
  </si>
  <si>
    <t>Büronun fəaliyyətinin qeyri-müəyyən(30 gündən etibarən) vaxtadək saxlanılması və ya ləğvi</t>
  </si>
  <si>
    <t xml:space="preserve">
1. Uyğunluq boşluqları səbəbindən kiber insidentlər. Büronun fəaliyyətinə yüksək təsir. Büro iştirakçılarının 10%-nin itirilməsi ilə nəticələndi.2. Tənzimləyici orqan (AMB) tərəfindən təcili iclasın çağırılması və Büronun fəaliyyətinə məhdudiyyətlərin qoyulması.
3.Büroya məxsus sosial şəbəkələrdə Büronun fəlaiyyətinə zidd məlumatların  mövcud olması</t>
  </si>
  <si>
    <t>Büronun imicinin  nüfuzunun itiirilməsi və ləğv edilməsi</t>
  </si>
  <si>
    <t>1.Ağır xəsarət, əlillik (birinci dərəcə) ilə nəticələnən hallar. 
2.Büro aktivlərinin , inzibati binanın zədələnməsi
3.Əməyin mühafizəsi və təhlükəsizliyi təmin etmək üçün kritik aktivlərin olmaması</t>
  </si>
  <si>
    <t>1.Daimi əlillik (2,3,4 dərəcə) və ya ölüm ehtimalı var
2.Yanğından mühafizə tədbirlərinin yetərsizliyi
3.Büro inzibati binasının istifadəsində məhdudiyyətlər</t>
  </si>
  <si>
    <t>1. Prosesi təşkil edən işin 50%-nin yerinə yetirilməməsi.2. Əsas hədəflərin 50% yerinə yetirilməməsi və ya görülən işlərin əsas hədəfdən 10% kənara çıxması
2. Biznes proseslərin fəaliyyətinin 1 gün təmin edilməməsi və ya əməliyyatların,xidmətlərin 3 gün gecikməsi</t>
  </si>
  <si>
    <t>1. Prosesi təşkil edən işlərin 50%-80%-nin yerinə yetirilməməsi.2. Əsas hədəflərin 50%-70%-nin yerinə yetirilməməsi və ya görülən işlərin əsas hədəfdən 20%-nin kənara çıxması
3.Biznes proseslərin 2 gün təmin edilməməsi və ya əməliyyatalrın,xidmətlərin 4-7 gün gecikməsi</t>
  </si>
  <si>
    <t>Biznes proseslərin qeyri-müəyyən uzun vaxtadək (8 gündən uzun müddətdən etibarən)icra edilməməsi, xidmətin dayandırılması və ya 30 gündən uzun müddətə gecikməsi</t>
  </si>
  <si>
    <t>Trigger</t>
  </si>
  <si>
    <t>Control</t>
  </si>
  <si>
    <t>Güc</t>
  </si>
  <si>
    <t>Aktuallıq(real tətbiq edilir)</t>
  </si>
  <si>
    <t>Monitorinq(izlənilmə)</t>
  </si>
  <si>
    <t>Zamanlılıq</t>
  </si>
  <si>
    <t>Davamlılıq</t>
  </si>
  <si>
    <t>100.001-1.000.000 aralığı AZN</t>
  </si>
  <si>
    <t>Strateji təşəbbüslərin reallaşmasında gecikmələr yaranır(cari il üçün nəzaərdə tutulan tapşırığın yerinə yetirilməməsi).Startegiyadakı fəaliyyətlərin Təşəbbüsləri üzrə strategiyadan yayınmaların olması</t>
  </si>
  <si>
    <t>Bir neçə ana  fəaliyyətdə uğursuzluğun yaranması</t>
  </si>
  <si>
    <t xml:space="preserve">
Bir ana fəaliyyət üzrə strategiyada uğursuzluğun yaranması</t>
  </si>
  <si>
    <t xml:space="preserve"> Strategiya fəaliyyəti üzrə  Milestone səviyyəsində yayınmaların olması və ya gecikmələrin olması(1 ayadək)</t>
  </si>
  <si>
    <t>1.Qanuni tələblərin pozulması nəticəsində Büroya qarşı görülmüş hüquqi tədbirlər (məsələn, sanksiyaların tətbiqi, fəaliyyətin məhdudlaşdırılması və s.)
2.Ali icra orqan tərəfindən təsdiq edilmiş imperativ sənədlərin tələblərinin  pozulması</t>
  </si>
  <si>
    <t xml:space="preserve">1. Cərimə ilə nəticələnə bilən qanun pozuntularının baş verməsi 
2. Qanunvericiliyin pozulması və üzvlərin şikayətləri nəticəsində biznes proseslərinə təsir
3.Struktur daxili tərtib edilmiş sənədlərin tələblərin pozulması
</t>
  </si>
  <si>
    <t>1. Respublika mətbuatında neqativ, reputasiyaya xələl gətirən məlumatların dərci nəticəsində imicinə ziyan vurulması.2. Funksionallığın pozulması nəticəsində Mərkəzi Bankdan məktub və ya xəbərdarlıq alınması
3.Büroya məxsus kütləvi informasiya vasitələrində dəqiq olmayan, köhnə və ya əksik məlumatların olması</t>
  </si>
  <si>
    <t xml:space="preserve">1. SƏTƏM ilə bağlı heç bir insident baş verməyib.
</t>
  </si>
  <si>
    <t xml:space="preserve">1.SƏTƏM hadisəsi baş verib. Bununla belə, yüngül xəsarət (tibbi müdaxiləyə ehtiyac yoxdur) və xəstəliklər baş verib. İlk yardım kifayətdir.
</t>
  </si>
  <si>
    <t>1.Ciddi xəstəliklər və ya xəsarətlər (həkim müayinəsi lazımdır) baş verib. Terapevtik bir yanaşma tələb olunur
2.Əməyin təhlükəsizliyi üçün lazım olan aktivlərin olmaması və ya yetərsizliyi
3. Aktivlərin zədələnməsi ilə nəticələnməyən hadisələrin yaranması</t>
  </si>
  <si>
    <t>1.Ölüm halının yaranması
2.Büro inzibati Binasının istifadəyə yarasız olması</t>
  </si>
  <si>
    <t xml:space="preserve">Əsas proses işçilərinin illik dövriyyəsi 6%- 10% təşkil edir.
 İş həcminin 10%-ədək xətaların olması
Yeni işçilərin adaptasiyasənda çətinliklərin yaranması
</t>
  </si>
  <si>
    <t>Nəzarət effektivliyinin qiymətləndirməsi</t>
  </si>
  <si>
    <t>Nəzarətin dizaynı</t>
  </si>
  <si>
    <t>Nəzarətin tətbiqi</t>
  </si>
  <si>
    <t>Nəzarətin ümumi qiymətləndirilməsi</t>
  </si>
  <si>
    <t>Code review zamanı “unsanitized input” və ya “string concatenation ilə SQL query” aşkarlanması</t>
  </si>
  <si>
    <t>A.8.28 – Secure Coding</t>
  </si>
  <si>
    <t>Vulnerability scan və ya penetration test nəticəsində “SQL Injection (High/Critical)” tapılması</t>
  </si>
  <si>
    <t>A.8.8 – Technical Vulnerability Management</t>
  </si>
  <si>
    <t>WAF loglarında SQLi pattern-lərinin detect olunmasına baxmayaraq bloklanmaması</t>
  </si>
  <si>
    <t>A.8.16 – Monitoring activities ilə əlaqələndirilə bilər</t>
  </si>
  <si>
    <t>Dizayn</t>
  </si>
  <si>
    <t>Tətbiqi</t>
  </si>
  <si>
    <t>Aktuallıq</t>
  </si>
  <si>
    <t>İzlənilmə</t>
  </si>
  <si>
    <t>Kontrolun dizaynı Risk testi üçün  standartlara və ən yaxşı təcrübələrə cavab verir</t>
  </si>
  <si>
    <t>Bütün kritik risklər əhatə olunur, kontrol dizaynı risk səviyyəsinə proporsionaldır, residual risk minimallaşdırmağa uyğundur</t>
  </si>
  <si>
    <t>Risk əsaslı yanaşma tətbiq edilib, kontrol dizaynı ümumilikdə adekvatdır(90%), kiçik boşluqlar qalır</t>
  </si>
  <si>
    <t>Risklərin böyük hissəsi əhatə olunur(50%-89%), lakin kontrol intensivliyi qeyri-bərabərdir, kontrol dizaynı riskı tam əhatə etmir</t>
  </si>
  <si>
    <t>Riskin yalnız bir hissəsi əhatə olunur(25%-49%), kontrol dizaynı tam risk xəritəsinə əsaslanmır</t>
  </si>
  <si>
    <t>Nəzarət real vaxtda və ya dərhal icra olunur, gecikmə yoxdur, nəzarət önləyici xarakter daşıyır</t>
  </si>
  <si>
    <t>Nəzarət önləyici xarakter daşıyır,vaxtında icra olunur, kiçik gecikmələr ola bilər (qeyri-kritik olan, 10% həcmdə gecikmələr).</t>
  </si>
  <si>
    <t>Çox vaxt gecikmə olur, icra vaxtı standartlara uyğun deyil.(50%-90% gecikmə ola bilər), kontrollar aşkar etmə(detective) və ya yönləndirlmə(directive)xarakter daşıyır.</t>
  </si>
  <si>
    <t>Əksər hallarda vaxtında icra olunur, lakin gecikmələr müşahidə edilir.(11%-49% həcmdə gecikmələr ola bilər), kontrollar önləyici və ya düzəldici xarakter daşıyır.</t>
  </si>
  <si>
    <t>Nəzarət vaxtında icra edilmir(91%-100%) və ya ümumiyyətlə tətbiq olunmur.Heç bir kontrol yoxdur</t>
  </si>
  <si>
    <t>Tam aktualdır, risklərə tam uyğun və optimallaşdırılıb(91%-100%), biznes tələbləri ilə uyğundur</t>
  </si>
  <si>
    <t>Yüksək dərəcədə aktualdır, biznes tələblərini qarşılayır(90%), risklərə uyğunlaşdırılıb</t>
  </si>
  <si>
    <t>Əsas riskləri əhatə edir(50%-89%), biznes tələblərinə və proseslərə dəyişikliklər edilsə də kontrol dəyişməyib, dəyişiklik orta səviyyədə uyğundur</t>
  </si>
  <si>
    <t>Qismən aktualdır, proseslərdə dəyişiklər yaranıb artıq kontrollar biznes tələblərini qismən qarşılayır(25%-49%), bəzi riskləri əhatə edir</t>
  </si>
  <si>
    <t>Risk nəzərə alınmayıb, kontrol kritik boşluqları əhatə etmir(0-24%), residual(qalıq) riskin yüksək olma ehtimalı artır</t>
  </si>
  <si>
    <t>Nəzarət köhnədir(0-24%), biznes və risklərlə uyğun deyil, kontrol işləmir.</t>
  </si>
  <si>
    <t>Tam avtomatlaşdırılmış və fasiləsiz tətbiq olunur</t>
  </si>
  <si>
    <t>Demək olar ki, davamlı tətbiq olunur</t>
  </si>
  <si>
    <t>Müntəzəm tətbiq olunur, amma fasilələr var</t>
  </si>
  <si>
    <t>Ara-sıra tətbiq olunur, sistemsiz</t>
  </si>
  <si>
    <t>Tətbiq edilmir və ya çox nadir</t>
  </si>
  <si>
    <t>Real-time izləmə və tam audit trail və ya sübutlar mövcuddur</t>
  </si>
  <si>
    <t>Sistemli izləmə və audit izi mövcuddur</t>
  </si>
  <si>
    <t>Qismən sənədləşdirilmiş izləmə mövcuddur</t>
  </si>
  <si>
    <t>Yalnız manual və natamam izləmə var</t>
  </si>
  <si>
    <t>Heç bir izləmə və qeydiyyat yoxdur</t>
  </si>
  <si>
    <t>Kontrol effektivliyi</t>
  </si>
  <si>
    <t>Tətbiq</t>
  </si>
  <si>
    <t>Bütün kritik risklər tam əhatə olunur, kontrol dizaynı risk səviyyəsinə tam proporsionaldır və residual risk minimallaşdırılır. Dizayn standartlara və best practice-lərə tam uyğundur. Kontrol real vaxtda və ya dərhal icra olunur, heç bir gecikmə yoxdur və preventiv xarakter daşıyır.</t>
  </si>
  <si>
    <t>Risk əsaslı yanaşma tətbiq olunub və əhatə səviyyəsi ~90%-dir. Dizayn ümumilikdə adekvatdır və yalnız kiçik boşluqlar qalır. Kontrol yüksək keyfiyyətlidir və standartlara uyğundur. Zamanlılıq əsasən təmin olunur, yalnız minimal gecikmələr ola bilər.</t>
  </si>
  <si>
    <t>Risklərin 50–89%-i əhatə olunur, lakin dizaynda qeyri-bərabərlik və bəzi boşluqlar mövcuddur. Güc orta səviyyədədir və təkmilləşdirmə tələb olunur. Kontrollar əksər hallarda vaxtında icra olunur, lakin nəzərəçarpan gecikmələr mövcuddur.</t>
  </si>
  <si>
    <t>Risklərin yalnız 25–49%-i əhatə olunur, kontrol dizaynı risk xəritəsini tam əhatə etmir. Dizayn zəifdir və standartlara qismən uyğundur. Kontrol çox vaxt gecikir və icra qeyri-sabitdir (əksər hallarda reaktivdir).</t>
  </si>
  <si>
    <t>Risklər 0–24% səviyyəsində əhatə olunur və kritik boşluqlar mövcuddur. Dizayn standartlara uyğun deyil və effektiv deyil. Kontrol vaxtında icra edilmir və ya ümumiyyətlə tətbiq olunmur.</t>
  </si>
  <si>
    <t>Nəzarət tam aktualdır (risk və biznes dəyişikliklərinə 91–100% uyğun). Tam avtomatlaşdırılmış və fasiləsiz tətbiq olunur. Real-time monitorinq və tam audit trail mövcuddur, bütün icra sübutları izlənilə bilir.</t>
  </si>
  <si>
    <t>Nəzarət yüksək dərəcədə aktualdır (~90%) və biznes tələblərinə uyğundur. Demək olar ki, davamlı və stabil tətbiq edilir, yalnız kiçik fasilələr ola bilər. Sistemli izləmə və audit izi mövcuddur.</t>
  </si>
  <si>
    <t>Nəzarət əsas riskləri əhatə edir (50–89%), lakin bəzi uyğunluq boşluqları var. Müntəzəm tətbiq olunur, lakin fasilələr və gecikmələr mövcuddur. Qismən sənədləşdirilmiş izləmə və sübutlar var.</t>
  </si>
  <si>
    <t>Nəzarət qismən aktualdır (25–49%), bəzi proses dəyişiklikləri ilə uyğunlaşmayıb. Ara-sıra tətbiq olunur və sistemsizdir. Əsasən manual izləmə aparılır və sübutlar natamamdır.</t>
  </si>
  <si>
    <t>Nəzarət köhnəlmişdir (0–24%) və risklərlə uyğun deyil. Tətbiq edilmir və ya çox nadir hallarda icra olunur. Heç bir izləmə, audit izi və ya sənədləşmə yoxdur.</t>
  </si>
  <si>
    <t>Emerging risklər</t>
  </si>
  <si>
    <t xml:space="preserve">Texnoloji </t>
  </si>
  <si>
    <t>Geosiyasi risklər</t>
  </si>
  <si>
    <t>Ətraf mühit və iqlim</t>
  </si>
  <si>
    <t>Kiber risklərin təkamülü( artımı)</t>
  </si>
  <si>
    <t>Mövcud risk xəritələrində tam əks olunmayan, lakin dəyişən texnologiya, mühit və davranış faktorları səbəbilə gələcəkdə əhəmiyyətli maliyyə və əməliyyat təsiri yarada biləcək qeyri-müəyyən riskdir.</t>
  </si>
  <si>
    <t xml:space="preserve"> 1.000.000-1.500.000 aralığı AZN</t>
  </si>
  <si>
    <t>1.500.000 AZN üzəri maliyyə itkisi</t>
  </si>
  <si>
    <t>1 il ərzində bir və daha çox baş verməsi ehtimal olunur</t>
  </si>
  <si>
    <t>61 aydan-10 ildən bir baş verməsi ehtimal olunur</t>
  </si>
  <si>
    <t>25 ay-5 ildən bir baş verməsi ehtimal olunur</t>
  </si>
  <si>
    <t>13ay-2 ildən bir baş verməsi ehtimal olunur</t>
  </si>
  <si>
    <t>Hadisələr 10+ ildən daha uzun müddət aralığında baş verir</t>
  </si>
  <si>
    <t>Əsas proses işçilərinin illik dövriyyəsi 11%-15% təşkil edir.
Kritik rolların doldurulmasında çətinliklər yaranır. 
Əməliyyatlarda 11%-50% gecikmə yaranır.
Vakansiyalar təyin edilmiş müddətdən 30-45 gün sonra bağlanır.</t>
  </si>
  <si>
    <r>
      <t>1</t>
    </r>
    <r>
      <rPr>
        <sz val="8"/>
        <color theme="1"/>
        <rFont val="New times"/>
        <charset val="204"/>
      </rPr>
      <t>. COB tərəfindən məhdudlaşdırlma ilə nəticələnən addımlar atılmıasıvə ya COB-də üzv olan ölkələr arasında nüfuzun pisləşməsi.</t>
    </r>
    <r>
      <rPr>
        <sz val="8"/>
        <color theme="1"/>
        <rFont val="New times"/>
      </rPr>
      <t xml:space="preserve">Bütövlükdə Büronun fəaliyyətinə təsir göstərmişdir.2. Portfeldə əsas çəkiyə malik üzvlərin itirilməsi. 3. Büronun nüfuzuna dəyən zərər nəticəsində fəaliyyətinin məhdudlaşdırılması </t>
    </r>
  </si>
  <si>
    <r>
      <t>×/</t>
    </r>
    <r>
      <rPr>
        <b/>
        <i/>
        <sz val="14"/>
        <color theme="9" tint="-0.249977111117893"/>
        <rFont val="Arial"/>
        <family val="2"/>
      </rPr>
      <t>*</t>
    </r>
  </si>
  <si>
    <t>Risk Kateqoriyası</t>
  </si>
  <si>
    <t>Risk Sub-kateqoriyası</t>
  </si>
  <si>
    <t>Tamlıq</t>
  </si>
  <si>
    <t>Əlçatanlıq</t>
  </si>
  <si>
    <t>Əməliyyat</t>
  </si>
  <si>
    <t>Reputasiya</t>
  </si>
  <si>
    <t>Yekun Təsir</t>
  </si>
  <si>
    <t>Təbii Risk</t>
  </si>
  <si>
    <t>Tədbirlər planı</t>
  </si>
  <si>
    <t>İcra tarixi</t>
  </si>
  <si>
    <t>Status</t>
  </si>
  <si>
    <t>Medium</t>
  </si>
  <si>
    <t>Unlikely</t>
  </si>
  <si>
    <t>ID</t>
  </si>
  <si>
    <t>Risk izahı</t>
  </si>
  <si>
    <t>Notes</t>
  </si>
  <si>
    <t>Risk bildirən</t>
  </si>
  <si>
    <t>Risk sahibi(struktur)</t>
  </si>
  <si>
    <t>Risk sahibi(şəxs/vəzifə)</t>
  </si>
  <si>
    <t>Risk Davranış</t>
  </si>
  <si>
    <t>Son reviziya tarixi</t>
  </si>
  <si>
    <t>Reviziya tarixi zamanı dəyişiklik</t>
  </si>
  <si>
    <t xml:space="preserve">Konfidensiallıq </t>
  </si>
  <si>
    <t>Yekun təsir balı</t>
  </si>
  <si>
    <t>Ehtimal balı</t>
  </si>
  <si>
    <t>Təbii Risk balı</t>
  </si>
  <si>
    <t xml:space="preserve">Mövcud Nəzarət </t>
  </si>
  <si>
    <t>Nəzarət effektivlik balı</t>
  </si>
  <si>
    <t>OS1</t>
  </si>
  <si>
    <t>Tibbi təminat və ilk yardım prosesi</t>
  </si>
  <si>
    <t>Dərman qutularının olmaması</t>
  </si>
  <si>
    <t>Hər mərtəbə üçün standart komplektləşdirilmiş dərman qutularının alınması və yerləşdirilməsi</t>
  </si>
  <si>
    <t>İcra edilib</t>
  </si>
  <si>
    <t>30.09.2025</t>
  </si>
  <si>
    <t>Afaq Hüseynova</t>
  </si>
  <si>
    <t xml:space="preserve"> </t>
  </si>
  <si>
    <t>Mitigate</t>
  </si>
  <si>
    <t>Hədəf Qalıq Risk(Tədbirlər planından sonra qalan risk)</t>
  </si>
  <si>
    <t>Strategiyanın uğursuz olması və 50%-dən aşağı  həcmində icrası .Bütün ana fəlaiyyət istiqamətinin uğursuz olması</t>
  </si>
  <si>
    <t>1. Prosesi təşkil edən işin dayandırılması (80%-100% icra olunmaması).2. Əsas məqsədlərin 80%-nin yerinə yetirilməməsi və ya həyata keçirilən işlərin hədəfdən 50%-nin kənara çıxması
3. Biznes proseslərin 3-7 gün təmin edilməsi
və ya əməliyyatların, xidmətlərin 8-29 gün ərzində gecikməsi</t>
  </si>
  <si>
    <t xml:space="preserve">
1.Büronun fəaliyyətinin məhdudlaşdırılması
2.COB tələblərinin və ya öhdəlikərinin gecikdirilməsi, COB-də fəaliyyət məhdudlaşdırıılması
3.Ali idarə edici orqan tərəfindən təsdiq edilmiş sənədlərin tələblərinin  pozulması
4.Sənədləşmələrin aparılmaması
5.Regulyator tərəfindən iradlar 
6.BCP-nin aktivləşmə riskinin yaranması
</t>
  </si>
  <si>
    <t>1.Heç bir qanun pozuntusu, heç bir iddia yoxdur
2.Sənədləşmələr aktualdır və heç bir xəta yoxdur</t>
  </si>
  <si>
    <t xml:space="preserve">Minimal
</t>
  </si>
  <si>
    <t xml:space="preserve">Aşağı
</t>
  </si>
  <si>
    <t xml:space="preserve">Kritik
</t>
  </si>
  <si>
    <t xml:space="preserve">Yüksək
</t>
  </si>
  <si>
    <t xml:space="preserve">Orta
</t>
  </si>
  <si>
    <t>Qeyd:*- işarəsinin anlanmı budur ki, qeyd edilən hal seçim olaraq qəbul edilə bilər. X-işarəsnin anlamı isə budur ki, seçim olaraq qəbul edilə bilməz.</t>
  </si>
  <si>
    <r>
      <t>*</t>
    </r>
    <r>
      <rPr>
        <sz val="9"/>
        <color theme="1"/>
        <rFont val="Calibri"/>
        <family val="2"/>
        <scheme val="minor"/>
      </rPr>
      <t>Məxsusi Riski orta və yüksək olan risklər üzrə güclü nəzarət tətbiq edilməsinə baxmayaraq bu risklər aşağı riskədək enə bilər və diqqətdə saxlanıla bilər.Məxsusi riski çox yüksək olan risklər üçün güclü nəzarət tətbiq edilsə də risk orta olaraq qəbul edilir.</t>
    </r>
  </si>
  <si>
    <t>Məxsusi Risk Reytinqi</t>
  </si>
  <si>
    <t xml:space="preserve">Maksimum
</t>
  </si>
  <si>
    <t xml:space="preserve">Orta*
</t>
  </si>
  <si>
    <t xml:space="preserve">2
Aşağı </t>
  </si>
  <si>
    <t>Yayınma</t>
  </si>
  <si>
    <t>Transfer</t>
  </si>
  <si>
    <t>Riskin Sığorta edilməsi və ya başqa tərəfə/tərəfdaşa köçürülməsi</t>
  </si>
  <si>
    <t xml:space="preserve">
Nəzarətdə saxlanılması və nəzərdən keçirilməsi (tolerant)</t>
  </si>
  <si>
    <t>Riskin baş vermə ehtimalının azaldılması və ya riskə son qoymaq üçün tədbirlər görülməsi</t>
  </si>
  <si>
    <t xml:space="preserve">
Ərazidən təcrid olunmaq və ya risk azalana qədər xidmət göstərilməməsi</t>
  </si>
  <si>
    <t>Məxsusi Risk Reytinq</t>
  </si>
  <si>
    <t>Azaltma</t>
  </si>
  <si>
    <t xml:space="preserve">Təsir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</si>
</sst>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font>
      <sz val="11"/>
      <color theme="1"/>
      <name val="Calibri"/>
      <family val="2"/>
      <scheme val="minor"/>
    </font>
    <font>
      <b/>
      <sz val="11"/>
      <color theme="1"/>
      <name val="Calibri"/>
      <family val="2"/>
      <scheme val="minor"/>
    </font>
    <font>
      <b/>
      <sz val="12"/>
      <color theme="1"/>
      <name val="New times"/>
    </font>
    <font>
      <b/>
      <sz val="8"/>
      <color theme="1"/>
      <name val="New times"/>
    </font>
    <font>
      <b/>
      <sz val="10"/>
      <color theme="1"/>
      <name val="Calibri"/>
      <family val="2"/>
      <scheme val="minor"/>
    </font>
    <font>
      <b/>
      <sz val="10"/>
      <color theme="1"/>
      <name val="Times New Roman"/>
      <family val="1"/>
    </font>
    <font>
      <b/>
      <sz val="10"/>
      <color theme="1"/>
      <name val="New times"/>
    </font>
    <font>
      <sz val="8"/>
      <color theme="1"/>
      <name val="New times"/>
    </font>
    <font>
      <b/>
      <sz val="10"/>
      <color rgb="FF000000"/>
      <name val="Times New Roman"/>
      <family val="1"/>
    </font>
    <font>
      <b/>
      <sz val="12"/>
      <color theme="1"/>
      <name val="Calibri"/>
      <family val="2"/>
      <scheme val="minor"/>
    </font>
    <font>
      <b/>
      <sz val="12"/>
      <color rgb="FF000000"/>
      <name val="Calibri"/>
      <family val="2"/>
      <scheme val="minor"/>
    </font>
    <font>
      <sz val="12"/>
      <color rgb="FF000000"/>
      <name val="Calibri"/>
      <family val="2"/>
      <scheme val="minor"/>
    </font>
    <font>
      <sz val="10"/>
      <color theme="1"/>
      <name val="Times New Roman"/>
      <family val="1"/>
    </font>
    <font>
      <i/>
      <sz val="10"/>
      <color theme="1"/>
      <name val="Times New Roman"/>
      <family val="1"/>
    </font>
    <font>
      <b/>
      <sz val="14"/>
      <color theme="1"/>
      <name val="Calibri"/>
      <family val="2"/>
      <scheme val="minor"/>
    </font>
    <font>
      <sz val="10"/>
      <color rgb="FF000000"/>
      <name val="Times New Roman"/>
      <family val="1"/>
    </font>
    <font>
      <sz val="8"/>
      <color theme="0"/>
      <name val="Calibri"/>
      <family val="2"/>
      <scheme val="minor"/>
    </font>
    <font>
      <b/>
      <sz val="8"/>
      <color theme="1"/>
      <name val="Calibri"/>
      <family val="2"/>
      <scheme val="minor"/>
    </font>
    <font>
      <b/>
      <i/>
      <sz val="8"/>
      <color theme="1"/>
      <name val="Calibri"/>
      <family val="2"/>
      <scheme val="minor"/>
    </font>
    <font>
      <sz val="8"/>
      <color theme="1"/>
      <name val="Calibri"/>
      <family val="2"/>
      <scheme val="minor"/>
    </font>
    <font>
      <sz val="9"/>
      <color indexed="81"/>
      <name val="Tahoma"/>
      <charset val="1"/>
    </font>
    <font>
      <b/>
      <sz val="9"/>
      <color indexed="81"/>
      <name val="Tahoma"/>
      <charset val="1"/>
    </font>
    <font>
      <sz val="8"/>
      <color theme="1"/>
      <name val="New times"/>
      <charset val="204"/>
    </font>
    <font>
      <sz val="9"/>
      <color indexed="81"/>
      <name val="Tahoma"/>
      <family val="2"/>
    </font>
    <font>
      <b/>
      <sz val="9"/>
      <color indexed="81"/>
      <name val="Tahoma"/>
      <family val="2"/>
    </font>
    <font>
      <b/>
      <sz val="11"/>
      <color theme="1"/>
      <name val="Arial"/>
      <family val="2"/>
    </font>
    <font>
      <sz val="11"/>
      <color theme="1"/>
      <name val="Arial"/>
      <family val="2"/>
    </font>
    <font>
      <b/>
      <i/>
      <sz val="11"/>
      <color rgb="FFFF0000"/>
      <name val="Arial"/>
      <family val="2"/>
    </font>
    <font>
      <sz val="16"/>
      <color theme="9" tint="-0.249977111117893"/>
      <name val="Arial"/>
      <family val="2"/>
    </font>
    <font>
      <b/>
      <i/>
      <sz val="14"/>
      <color theme="9" tint="-0.249977111117893"/>
      <name val="Arial"/>
      <family val="2"/>
    </font>
    <font>
      <b/>
      <sz val="10"/>
      <color theme="0"/>
      <name val="Arial"/>
      <family val="2"/>
    </font>
    <font>
      <b/>
      <sz val="10"/>
      <color rgb="FFFFFFFF"/>
      <name val="Arial"/>
      <family val="2"/>
    </font>
    <font>
      <sz val="9"/>
      <color theme="1"/>
      <name val="Calibri"/>
      <family val="2"/>
      <scheme val="minor"/>
    </font>
  </fonts>
  <fills count="19">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2"/>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7030A0"/>
        <bgColor indexed="64"/>
      </patternFill>
    </fill>
    <fill>
      <patternFill patternType="solid">
        <fgColor theme="5" tint="-0.249977111117893"/>
        <bgColor indexed="64"/>
      </patternFill>
    </fill>
    <fill>
      <patternFill patternType="solid">
        <fgColor theme="8" tint="0.79998168889431442"/>
        <bgColor theme="8" tint="0.79998168889431442"/>
      </patternFill>
    </fill>
    <fill>
      <patternFill patternType="solid">
        <fgColor theme="8"/>
        <bgColor theme="8"/>
      </patternFill>
    </fill>
    <fill>
      <patternFill patternType="solid">
        <fgColor theme="8"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213">
    <xf numFmtId="0" fontId="0" fillId="0" borderId="0" xfId="0"/>
    <xf numFmtId="0" fontId="0" fillId="0" borderId="1" xfId="0" applyBorder="1"/>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1" fillId="0" borderId="0" xfId="0" applyFont="1"/>
    <xf numFmtId="0" fontId="0" fillId="0" borderId="0" xfId="0" applyAlignment="1">
      <alignment horizontal="center" vertical="top"/>
    </xf>
    <xf numFmtId="0" fontId="4" fillId="0" borderId="1" xfId="0" applyFont="1" applyBorder="1"/>
    <xf numFmtId="3" fontId="5" fillId="0" borderId="1" xfId="0" applyNumberFormat="1" applyFont="1" applyBorder="1" applyAlignment="1">
      <alignment horizontal="right" vertical="center" wrapText="1"/>
    </xf>
    <xf numFmtId="0" fontId="4" fillId="0" borderId="0" xfId="0" applyFont="1"/>
    <xf numFmtId="0" fontId="6" fillId="0" borderId="1" xfId="0" applyFont="1" applyBorder="1" applyAlignment="1">
      <alignment horizontal="center" vertical="center" wrapText="1"/>
    </xf>
    <xf numFmtId="0" fontId="4" fillId="0" borderId="0" xfId="0" applyFont="1" applyAlignment="1">
      <alignment horizontal="center" vertical="top"/>
    </xf>
    <xf numFmtId="10" fontId="7" fillId="0" borderId="1" xfId="0" applyNumberFormat="1" applyFont="1" applyBorder="1" applyAlignment="1">
      <alignment horizontal="center" vertical="center"/>
    </xf>
    <xf numFmtId="0" fontId="7" fillId="0" borderId="1" xfId="0" applyFont="1" applyBorder="1" applyAlignment="1">
      <alignment horizontal="center" vertical="center"/>
    </xf>
    <xf numFmtId="3" fontId="8" fillId="4" borderId="1" xfId="0" applyNumberFormat="1" applyFont="1" applyFill="1" applyBorder="1" applyAlignment="1">
      <alignment horizontal="right" vertical="center" wrapText="1"/>
    </xf>
    <xf numFmtId="0" fontId="7" fillId="0" borderId="1" xfId="0" applyFont="1" applyBorder="1" applyAlignment="1">
      <alignment horizontal="center" vertical="center" wrapText="1"/>
    </xf>
    <xf numFmtId="0" fontId="0" fillId="8" borderId="1" xfId="0" applyFill="1" applyBorder="1"/>
    <xf numFmtId="3" fontId="5" fillId="8" borderId="1" xfId="0" applyNumberFormat="1" applyFont="1" applyFill="1" applyBorder="1" applyAlignment="1">
      <alignment horizontal="right" vertical="center" wrapText="1"/>
    </xf>
    <xf numFmtId="0" fontId="7" fillId="9" borderId="1" xfId="0" applyFont="1" applyFill="1" applyBorder="1" applyAlignment="1">
      <alignment horizontal="center" vertical="center" wrapText="1"/>
    </xf>
    <xf numFmtId="0" fontId="0" fillId="0" borderId="2" xfId="0" applyBorder="1"/>
    <xf numFmtId="0" fontId="9" fillId="0" borderId="0" xfId="0" applyFont="1"/>
    <xf numFmtId="0" fontId="9" fillId="6" borderId="1" xfId="0" applyFont="1" applyFill="1" applyBorder="1" applyAlignment="1">
      <alignment horizontal="center"/>
    </xf>
    <xf numFmtId="0" fontId="0" fillId="0" borderId="1" xfId="0" applyBorder="1" applyAlignment="1">
      <alignment wrapText="1"/>
    </xf>
    <xf numFmtId="0" fontId="0" fillId="0" borderId="1" xfId="0" applyBorder="1" applyAlignment="1">
      <alignment vertical="center" wrapText="1"/>
    </xf>
    <xf numFmtId="0" fontId="0" fillId="0" borderId="0" xfId="0" applyBorder="1" applyAlignment="1">
      <alignment wrapText="1"/>
    </xf>
    <xf numFmtId="0" fontId="9" fillId="5" borderId="1" xfId="0" applyFont="1" applyFill="1" applyBorder="1" applyAlignment="1">
      <alignment horizontal="center"/>
    </xf>
    <xf numFmtId="0" fontId="9" fillId="4" borderId="1" xfId="0" applyFont="1" applyFill="1" applyBorder="1" applyAlignment="1">
      <alignment horizontal="center"/>
    </xf>
    <xf numFmtId="0" fontId="9" fillId="3" borderId="1" xfId="0" applyFont="1" applyFill="1" applyBorder="1" applyAlignment="1">
      <alignment horizontal="center"/>
    </xf>
    <xf numFmtId="0" fontId="9" fillId="2" borderId="1" xfId="0" applyFont="1" applyFill="1" applyBorder="1" applyAlignment="1">
      <alignment horizontal="center"/>
    </xf>
    <xf numFmtId="0" fontId="9"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right" vertical="center" wrapText="1"/>
    </xf>
    <xf numFmtId="0" fontId="12" fillId="0" borderId="0" xfId="0" applyFont="1" applyAlignment="1">
      <alignment vertical="center" wrapText="1"/>
    </xf>
    <xf numFmtId="0" fontId="12" fillId="0" borderId="0" xfId="0" applyFont="1" applyAlignment="1">
      <alignment horizontal="center" vertical="center" wrapText="1"/>
    </xf>
    <xf numFmtId="3" fontId="12" fillId="0" borderId="0" xfId="0" applyNumberFormat="1" applyFont="1" applyAlignment="1">
      <alignment horizontal="right" vertical="center" wrapText="1"/>
    </xf>
    <xf numFmtId="3" fontId="5" fillId="0" borderId="0" xfId="0" applyNumberFormat="1" applyFont="1" applyAlignment="1">
      <alignment horizontal="right" vertical="center" wrapText="1"/>
    </xf>
    <xf numFmtId="0" fontId="0" fillId="0" borderId="0" xfId="0" applyAlignment="1">
      <alignment vertical="center"/>
    </xf>
    <xf numFmtId="0" fontId="0" fillId="0" borderId="0" xfId="0" applyAlignment="1">
      <alignment horizontal="center" vertical="center" wrapText="1"/>
    </xf>
    <xf numFmtId="0" fontId="11" fillId="0" borderId="0" xfId="0" applyFont="1" applyAlignment="1">
      <alignment vertical="center" wrapText="1"/>
    </xf>
    <xf numFmtId="0" fontId="13" fillId="0" borderId="0" xfId="0" applyFont="1" applyAlignment="1">
      <alignment horizontal="left" vertical="center" wrapText="1" indent="1"/>
    </xf>
    <xf numFmtId="0" fontId="12" fillId="0" borderId="0" xfId="0" applyFont="1" applyAlignment="1">
      <alignment horizontal="right" vertical="center" wrapText="1"/>
    </xf>
    <xf numFmtId="0" fontId="0" fillId="0" borderId="0" xfId="0" applyAlignment="1">
      <alignment horizontal="center" vertical="center"/>
    </xf>
    <xf numFmtId="0" fontId="1" fillId="0" borderId="1" xfId="0" applyFont="1" applyBorder="1" applyAlignment="1">
      <alignment horizontal="center" vertical="center" wrapText="1"/>
    </xf>
    <xf numFmtId="0" fontId="0" fillId="5" borderId="1" xfId="0" applyFill="1" applyBorder="1" applyAlignment="1">
      <alignment horizontal="center" vertical="center" wrapText="1"/>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0" fontId="0" fillId="2" borderId="1" xfId="0" applyFill="1" applyBorder="1" applyAlignment="1">
      <alignment horizontal="center" vertical="center" wrapText="1"/>
    </xf>
    <xf numFmtId="0" fontId="1" fillId="0" borderId="1" xfId="0" applyFont="1" applyBorder="1" applyAlignment="1">
      <alignment horizontal="center" wrapText="1"/>
    </xf>
    <xf numFmtId="0" fontId="0" fillId="6" borderId="1" xfId="0" applyFill="1" applyBorder="1" applyAlignment="1">
      <alignment horizontal="center" vertical="center" wrapText="1"/>
    </xf>
    <xf numFmtId="3" fontId="15" fillId="0" borderId="0" xfId="0" applyNumberFormat="1" applyFont="1" applyAlignment="1">
      <alignment horizontal="right" vertical="center" wrapText="1"/>
    </xf>
    <xf numFmtId="3" fontId="8" fillId="0" borderId="0" xfId="0" applyNumberFormat="1" applyFont="1" applyAlignment="1">
      <alignment horizontal="right" vertical="center" wrapText="1"/>
    </xf>
    <xf numFmtId="0" fontId="15" fillId="0" borderId="0" xfId="0" applyFont="1" applyAlignment="1">
      <alignment horizontal="right" vertical="center" wrapText="1"/>
    </xf>
    <xf numFmtId="16" fontId="0" fillId="0" borderId="0" xfId="0" applyNumberFormat="1"/>
    <xf numFmtId="49" fontId="0" fillId="0" borderId="0" xfId="0" applyNumberFormat="1"/>
    <xf numFmtId="0" fontId="8" fillId="0" borderId="0" xfId="0" applyFont="1" applyAlignment="1">
      <alignment horizontal="right" vertical="center" wrapText="1"/>
    </xf>
    <xf numFmtId="0" fontId="15" fillId="0" borderId="0" xfId="0" applyFont="1" applyAlignment="1">
      <alignment vertical="center" wrapText="1"/>
    </xf>
    <xf numFmtId="0" fontId="1" fillId="6"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6" fillId="12" borderId="13" xfId="0" applyFont="1" applyFill="1" applyBorder="1" applyAlignment="1">
      <alignment horizontal="center" vertical="center"/>
    </xf>
    <xf numFmtId="0" fontId="0" fillId="0" borderId="11" xfId="0" applyBorder="1" applyAlignment="1">
      <alignment wrapText="1"/>
    </xf>
    <xf numFmtId="0" fontId="0" fillId="0" borderId="15" xfId="0" applyBorder="1" applyAlignment="1">
      <alignment wrapText="1"/>
    </xf>
    <xf numFmtId="0" fontId="1" fillId="0" borderId="0" xfId="0" applyFont="1" applyAlignment="1">
      <alignment wrapText="1"/>
    </xf>
    <xf numFmtId="0" fontId="19" fillId="0" borderId="1" xfId="0" applyFont="1" applyBorder="1" applyAlignment="1">
      <alignment horizontal="center" vertical="center" wrapText="1"/>
    </xf>
    <xf numFmtId="0" fontId="19" fillId="13" borderId="1" xfId="0" applyFont="1" applyFill="1" applyBorder="1" applyAlignment="1">
      <alignment horizontal="center" vertical="center" wrapText="1"/>
    </xf>
    <xf numFmtId="0" fontId="19" fillId="12" borderId="1" xfId="0" applyFont="1" applyFill="1" applyBorder="1" applyAlignment="1">
      <alignment horizontal="center" vertical="center"/>
    </xf>
    <xf numFmtId="0" fontId="19" fillId="12" borderId="11" xfId="0" applyFont="1" applyFill="1" applyBorder="1" applyAlignment="1">
      <alignment horizontal="center" vertical="center"/>
    </xf>
    <xf numFmtId="0" fontId="16" fillId="12" borderId="13" xfId="0" applyFont="1" applyFill="1" applyBorder="1" applyAlignment="1">
      <alignment horizontal="center" vertical="center" wrapText="1"/>
    </xf>
    <xf numFmtId="0" fontId="19" fillId="12" borderId="13" xfId="0" applyFont="1" applyFill="1" applyBorder="1" applyAlignment="1">
      <alignment horizontal="center" vertical="center"/>
    </xf>
    <xf numFmtId="0" fontId="19" fillId="0" borderId="1" xfId="0" applyFont="1" applyBorder="1" applyAlignment="1">
      <alignment horizontal="center" vertical="center"/>
    </xf>
    <xf numFmtId="0" fontId="17" fillId="12" borderId="1" xfId="0" applyFont="1" applyFill="1" applyBorder="1" applyAlignment="1">
      <alignment horizontal="center" vertical="center" wrapText="1"/>
    </xf>
    <xf numFmtId="0" fontId="17" fillId="12" borderId="11" xfId="0" applyFont="1" applyFill="1" applyBorder="1" applyAlignment="1">
      <alignment horizontal="center" vertical="center"/>
    </xf>
    <xf numFmtId="0" fontId="16" fillId="12" borderId="14" xfId="0" applyFont="1" applyFill="1" applyBorder="1" applyAlignment="1">
      <alignment horizontal="center" vertical="center" wrapText="1"/>
    </xf>
    <xf numFmtId="2" fontId="19" fillId="0" borderId="15" xfId="0" applyNumberFormat="1" applyFont="1" applyBorder="1" applyAlignment="1">
      <alignment horizontal="center" vertical="center"/>
    </xf>
    <xf numFmtId="2" fontId="19" fillId="13" borderId="15" xfId="0" applyNumberFormat="1" applyFont="1" applyFill="1" applyBorder="1" applyAlignment="1">
      <alignment horizontal="center" vertical="center" wrapText="1"/>
    </xf>
    <xf numFmtId="2" fontId="19" fillId="0" borderId="15" xfId="0" applyNumberFormat="1" applyFont="1" applyBorder="1" applyAlignment="1">
      <alignment horizontal="center" vertical="center" wrapText="1"/>
    </xf>
    <xf numFmtId="2" fontId="17" fillId="12" borderId="15" xfId="0" applyNumberFormat="1" applyFont="1" applyFill="1" applyBorder="1" applyAlignment="1">
      <alignment horizontal="center" vertical="center"/>
    </xf>
    <xf numFmtId="0" fontId="17" fillId="12" borderId="16" xfId="0" applyFont="1" applyFill="1" applyBorder="1" applyAlignment="1">
      <alignment horizontal="center" vertical="center"/>
    </xf>
    <xf numFmtId="0" fontId="9" fillId="10" borderId="1" xfId="0" applyFont="1" applyFill="1" applyBorder="1" applyAlignment="1">
      <alignment horizontal="center" wrapText="1"/>
    </xf>
    <xf numFmtId="0" fontId="9" fillId="10" borderId="1" xfId="0" applyFont="1" applyFill="1" applyBorder="1" applyAlignment="1">
      <alignment horizontal="center"/>
    </xf>
    <xf numFmtId="0" fontId="9" fillId="7" borderId="13"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1" fillId="6" borderId="13" xfId="0" applyFont="1" applyFill="1" applyBorder="1" applyAlignment="1">
      <alignment horizontal="center" vertical="center" wrapText="1"/>
    </xf>
    <xf numFmtId="0" fontId="11" fillId="6" borderId="1" xfId="0" applyFont="1" applyFill="1" applyBorder="1" applyAlignment="1">
      <alignment vertical="center" wrapText="1"/>
    </xf>
    <xf numFmtId="0" fontId="11" fillId="5" borderId="13" xfId="0" applyFont="1" applyFill="1" applyBorder="1" applyAlignment="1">
      <alignment horizontal="center" vertical="center" wrapText="1"/>
    </xf>
    <xf numFmtId="0" fontId="11" fillId="5" borderId="1" xfId="0" applyFont="1" applyFill="1" applyBorder="1" applyAlignment="1">
      <alignment vertical="center" wrapText="1"/>
    </xf>
    <xf numFmtId="0" fontId="11" fillId="4" borderId="13" xfId="0" applyFont="1" applyFill="1" applyBorder="1" applyAlignment="1">
      <alignment horizontal="center" vertical="center" wrapText="1"/>
    </xf>
    <xf numFmtId="0" fontId="11" fillId="4" borderId="1" xfId="0" applyFont="1" applyFill="1" applyBorder="1" applyAlignment="1">
      <alignment vertical="center" wrapText="1"/>
    </xf>
    <xf numFmtId="0" fontId="11" fillId="3" borderId="13" xfId="0" applyFont="1" applyFill="1" applyBorder="1" applyAlignment="1">
      <alignment horizontal="center" vertical="center" wrapText="1"/>
    </xf>
    <xf numFmtId="0" fontId="11" fillId="3" borderId="1" xfId="0" applyFont="1" applyFill="1" applyBorder="1" applyAlignment="1">
      <alignment vertical="center" wrapText="1"/>
    </xf>
    <xf numFmtId="0" fontId="11" fillId="2" borderId="14" xfId="0" applyFont="1" applyFill="1" applyBorder="1" applyAlignment="1">
      <alignment horizontal="center" vertical="center" wrapText="1"/>
    </xf>
    <xf numFmtId="0" fontId="11" fillId="2" borderId="15" xfId="0" applyFont="1" applyFill="1" applyBorder="1" applyAlignment="1">
      <alignment vertical="center" wrapText="1"/>
    </xf>
    <xf numFmtId="0" fontId="0" fillId="0" borderId="16" xfId="0" applyBorder="1" applyAlignment="1">
      <alignment wrapText="1"/>
    </xf>
    <xf numFmtId="0" fontId="0" fillId="6"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Font="1" applyBorder="1"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1" fillId="7" borderId="1" xfId="0" applyFont="1" applyFill="1" applyBorder="1" applyAlignment="1">
      <alignment vertical="center"/>
    </xf>
    <xf numFmtId="0" fontId="0" fillId="0" borderId="1" xfId="0" applyBorder="1" applyAlignment="1">
      <alignment horizontal="center" vertical="center" wrapText="1"/>
    </xf>
    <xf numFmtId="0" fontId="0" fillId="0" borderId="0" xfId="0" applyAlignment="1">
      <alignment wrapText="1"/>
    </xf>
    <xf numFmtId="0" fontId="1" fillId="13" borderId="1" xfId="0" applyFont="1" applyFill="1" applyBorder="1"/>
    <xf numFmtId="0" fontId="1" fillId="7" borderId="1" xfId="0" applyFont="1" applyFill="1" applyBorder="1" applyAlignment="1">
      <alignment horizontal="center"/>
    </xf>
    <xf numFmtId="0" fontId="1" fillId="7" borderId="1" xfId="0" applyFont="1" applyFill="1" applyBorder="1" applyAlignment="1">
      <alignment horizontal="center" wrapText="1"/>
    </xf>
    <xf numFmtId="0" fontId="1" fillId="10" borderId="1" xfId="0" applyFont="1" applyFill="1" applyBorder="1"/>
    <xf numFmtId="0" fontId="1" fillId="7" borderId="1" xfId="0" applyFont="1" applyFill="1" applyBorder="1" applyAlignment="1">
      <alignment horizontal="center" vertical="center"/>
    </xf>
    <xf numFmtId="0" fontId="16" fillId="12" borderId="1" xfId="0" applyFont="1" applyFill="1" applyBorder="1" applyAlignment="1">
      <alignment horizontal="center" vertical="center"/>
    </xf>
    <xf numFmtId="0" fontId="16" fillId="12" borderId="1" xfId="0" applyFont="1" applyFill="1" applyBorder="1" applyAlignment="1">
      <alignment horizontal="center" vertical="center" wrapText="1"/>
    </xf>
    <xf numFmtId="2" fontId="0" fillId="0" borderId="0" xfId="0" applyNumberFormat="1"/>
    <xf numFmtId="0" fontId="0" fillId="7" borderId="1" xfId="0" applyFill="1" applyBorder="1" applyAlignment="1">
      <alignment wrapText="1"/>
    </xf>
    <xf numFmtId="0" fontId="9" fillId="7" borderId="1" xfId="0" applyFont="1" applyFill="1" applyBorder="1"/>
    <xf numFmtId="0" fontId="9" fillId="7" borderId="1" xfId="0" applyFont="1" applyFill="1" applyBorder="1" applyAlignment="1">
      <alignment wrapText="1"/>
    </xf>
    <xf numFmtId="0" fontId="0" fillId="7" borderId="1" xfId="0"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25" fillId="11" borderId="1" xfId="0" applyFont="1" applyFill="1" applyBorder="1" applyAlignment="1">
      <alignment horizontal="center" vertical="center" wrapText="1"/>
    </xf>
    <xf numFmtId="0" fontId="25" fillId="11" borderId="1" xfId="0" applyFont="1" applyFill="1" applyBorder="1" applyAlignment="1">
      <alignment horizontal="center"/>
    </xf>
    <xf numFmtId="0" fontId="25" fillId="11" borderId="1" xfId="0" applyFont="1" applyFill="1" applyBorder="1" applyAlignment="1">
      <alignment horizontal="center" wrapText="1"/>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6" fillId="2" borderId="1" xfId="0" applyFont="1" applyFill="1" applyBorder="1" applyAlignment="1">
      <alignment horizontal="center" vertical="center" wrapText="1"/>
    </xf>
    <xf numFmtId="0" fontId="27" fillId="0" borderId="1" xfId="0" applyFont="1" applyBorder="1" applyAlignment="1">
      <alignment horizontal="center"/>
    </xf>
    <xf numFmtId="0" fontId="28" fillId="0" borderId="1" xfId="0" applyFont="1" applyBorder="1" applyAlignment="1">
      <alignment horizontal="center"/>
    </xf>
    <xf numFmtId="0" fontId="28" fillId="0" borderId="1" xfId="0" applyFont="1" applyBorder="1" applyAlignment="1">
      <alignment horizontal="center" wrapText="1"/>
    </xf>
    <xf numFmtId="0" fontId="26" fillId="3"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7" fillId="0" borderId="1" xfId="0" applyFont="1" applyBorder="1" applyAlignment="1">
      <alignment horizontal="center" vertical="center"/>
    </xf>
    <xf numFmtId="0" fontId="26" fillId="5"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6" fillId="6" borderId="1" xfId="0" applyFont="1" applyFill="1" applyBorder="1" applyAlignment="1">
      <alignment horizontal="center" vertical="center" wrapText="1"/>
    </xf>
    <xf numFmtId="0" fontId="12" fillId="16" borderId="1" xfId="0" applyFont="1" applyFill="1" applyBorder="1" applyAlignment="1">
      <alignment horizontal="center"/>
    </xf>
    <xf numFmtId="0" fontId="5" fillId="16" borderId="1" xfId="0" applyFont="1" applyFill="1" applyBorder="1" applyAlignment="1">
      <alignment horizontal="center"/>
    </xf>
    <xf numFmtId="0" fontId="12" fillId="16" borderId="1" xfId="0" applyFont="1" applyFill="1" applyBorder="1" applyAlignment="1"/>
    <xf numFmtId="0" fontId="30" fillId="17" borderId="1" xfId="0" applyFont="1" applyFill="1" applyBorder="1" applyAlignment="1">
      <alignment horizontal="center" vertical="center" wrapText="1"/>
    </xf>
    <xf numFmtId="0" fontId="12" fillId="16" borderId="1" xfId="0" applyFont="1" applyFill="1" applyBorder="1" applyAlignment="1">
      <alignment wrapText="1"/>
    </xf>
    <xf numFmtId="0" fontId="15" fillId="16" borderId="1" xfId="0" applyFont="1" applyFill="1" applyBorder="1" applyAlignment="1"/>
    <xf numFmtId="14" fontId="12" fillId="16" borderId="1" xfId="0" applyNumberFormat="1" applyFont="1" applyFill="1" applyBorder="1" applyAlignment="1"/>
    <xf numFmtId="0" fontId="5" fillId="16" borderId="1" xfId="0" applyFont="1" applyFill="1" applyBorder="1" applyAlignment="1">
      <alignment horizontal="center" vertical="center"/>
    </xf>
    <xf numFmtId="0" fontId="5" fillId="16" borderId="3" xfId="0" applyFont="1" applyFill="1" applyBorder="1" applyAlignment="1">
      <alignment horizontal="center"/>
    </xf>
    <xf numFmtId="0" fontId="12" fillId="18" borderId="1" xfId="0" applyFont="1" applyFill="1" applyBorder="1" applyAlignment="1"/>
    <xf numFmtId="0" fontId="31" fillId="17" borderId="1" xfId="0" applyFont="1" applyFill="1" applyBorder="1" applyAlignment="1">
      <alignment horizontal="center" vertical="center" wrapText="1"/>
    </xf>
    <xf numFmtId="0" fontId="30" fillId="17" borderId="3" xfId="0" applyFont="1" applyFill="1" applyBorder="1" applyAlignment="1">
      <alignment horizontal="center" vertical="center" wrapText="1"/>
    </xf>
    <xf numFmtId="0" fontId="30" fillId="17" borderId="6" xfId="0" applyFont="1" applyFill="1" applyBorder="1" applyAlignment="1">
      <alignment horizontal="center" vertical="center" wrapText="1"/>
    </xf>
    <xf numFmtId="0" fontId="2" fillId="7" borderId="1" xfId="0" applyFont="1" applyFill="1" applyBorder="1" applyAlignment="1">
      <alignment horizontal="center" vertical="center"/>
    </xf>
    <xf numFmtId="49" fontId="0" fillId="0" borderId="0" xfId="0" applyNumberFormat="1" applyAlignment="1">
      <alignment wrapText="1"/>
    </xf>
    <xf numFmtId="0" fontId="0" fillId="6" borderId="1"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0" fillId="14" borderId="10" xfId="0" applyFill="1" applyBorder="1" applyAlignment="1">
      <alignment horizontal="center" wrapText="1"/>
    </xf>
    <xf numFmtId="0" fontId="4" fillId="0" borderId="11" xfId="0" applyFont="1" applyBorder="1"/>
    <xf numFmtId="0" fontId="7" fillId="0" borderId="11"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Fill="1" applyBorder="1" applyAlignment="1">
      <alignment horizontal="center" vertical="center" wrapText="1"/>
    </xf>
    <xf numFmtId="0" fontId="0" fillId="2" borderId="11" xfId="0" applyFill="1" applyBorder="1" applyAlignment="1">
      <alignment horizontal="center" vertical="center" wrapText="1"/>
    </xf>
    <xf numFmtId="0" fontId="0" fillId="3" borderId="11" xfId="0" applyFill="1" applyBorder="1" applyAlignment="1">
      <alignment horizontal="center" vertical="center" wrapText="1"/>
    </xf>
    <xf numFmtId="0" fontId="0" fillId="4" borderId="11" xfId="0" applyFill="1" applyBorder="1" applyAlignment="1">
      <alignment horizontal="center" vertical="center" wrapText="1"/>
    </xf>
    <xf numFmtId="0" fontId="0" fillId="7" borderId="11" xfId="0" applyFill="1" applyBorder="1" applyAlignment="1">
      <alignment horizontal="center" vertical="center" wrapText="1"/>
    </xf>
    <xf numFmtId="0" fontId="1" fillId="0" borderId="11" xfId="0" applyFont="1" applyBorder="1" applyAlignment="1">
      <alignment horizontal="center" vertical="center" wrapText="1"/>
    </xf>
    <xf numFmtId="0" fontId="2" fillId="7" borderId="13" xfId="0" applyFont="1" applyFill="1" applyBorder="1" applyAlignment="1">
      <alignment horizontal="center" vertical="center" wrapText="1"/>
    </xf>
    <xf numFmtId="0" fontId="2" fillId="7" borderId="14" xfId="0" applyFont="1" applyFill="1" applyBorder="1" applyAlignment="1">
      <alignment horizontal="center" vertical="center"/>
    </xf>
    <xf numFmtId="0" fontId="9" fillId="10" borderId="3" xfId="0" applyFont="1" applyFill="1" applyBorder="1" applyAlignment="1">
      <alignment horizontal="center" vertical="center" wrapText="1"/>
    </xf>
    <xf numFmtId="0" fontId="9" fillId="10" borderId="4" xfId="0" applyFont="1" applyFill="1" applyBorder="1" applyAlignment="1">
      <alignment horizontal="center" vertical="center" wrapText="1"/>
    </xf>
    <xf numFmtId="0" fontId="9" fillId="10" borderId="5" xfId="0" applyFont="1" applyFill="1" applyBorder="1" applyAlignment="1">
      <alignment horizontal="center" vertical="center" wrapText="1"/>
    </xf>
    <xf numFmtId="0" fontId="0" fillId="0" borderId="0" xfId="0" applyAlignment="1">
      <alignment horizontal="center" vertical="center" wrapText="1"/>
    </xf>
    <xf numFmtId="0" fontId="14" fillId="7" borderId="17" xfId="0" applyFont="1" applyFill="1" applyBorder="1" applyAlignment="1">
      <alignment horizontal="center" vertical="center"/>
    </xf>
    <xf numFmtId="0" fontId="14" fillId="7" borderId="18" xfId="0" applyFont="1" applyFill="1" applyBorder="1" applyAlignment="1">
      <alignment horizontal="center" vertical="center"/>
    </xf>
    <xf numFmtId="0" fontId="14" fillId="7" borderId="19" xfId="0" applyFont="1" applyFill="1" applyBorder="1" applyAlignment="1">
      <alignment horizontal="center" vertical="center"/>
    </xf>
    <xf numFmtId="0" fontId="1" fillId="0" borderId="13" xfId="0" applyFont="1" applyBorder="1" applyAlignment="1">
      <alignment horizontal="center" vertical="center"/>
    </xf>
    <xf numFmtId="0" fontId="1" fillId="7" borderId="12" xfId="0" applyFont="1" applyFill="1" applyBorder="1" applyAlignment="1">
      <alignment horizontal="center" vertical="center"/>
    </xf>
    <xf numFmtId="0" fontId="1" fillId="7" borderId="9" xfId="0" applyFont="1" applyFill="1" applyBorder="1" applyAlignment="1">
      <alignment horizontal="center" vertical="center"/>
    </xf>
    <xf numFmtId="0" fontId="1" fillId="7" borderId="10"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9" xfId="0" applyFont="1" applyFill="1" applyBorder="1" applyAlignment="1">
      <alignment horizontal="center" vertical="center"/>
    </xf>
    <xf numFmtId="0" fontId="2" fillId="7" borderId="13"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14" fillId="15" borderId="1" xfId="0" applyFont="1" applyFill="1" applyBorder="1" applyAlignment="1">
      <alignment horizontal="center" vertical="center" wrapText="1"/>
    </xf>
    <xf numFmtId="0" fontId="1" fillId="7" borderId="13" xfId="0" applyFont="1" applyFill="1" applyBorder="1" applyAlignment="1">
      <alignment horizontal="center" vertical="center"/>
    </xf>
    <xf numFmtId="0" fontId="1" fillId="7" borderId="14" xfId="0" applyFont="1" applyFill="1" applyBorder="1" applyAlignment="1">
      <alignment horizontal="center" vertical="center"/>
    </xf>
    <xf numFmtId="0" fontId="1" fillId="7" borderId="15" xfId="0" applyFont="1" applyFill="1" applyBorder="1" applyAlignment="1">
      <alignment horizontal="center" vertical="center"/>
    </xf>
    <xf numFmtId="0" fontId="1" fillId="7" borderId="16" xfId="0" applyFont="1" applyFill="1" applyBorder="1" applyAlignment="1">
      <alignment horizontal="center" vertical="center"/>
    </xf>
    <xf numFmtId="0" fontId="0" fillId="0" borderId="0" xfId="0" applyBorder="1" applyAlignment="1">
      <alignment horizontal="center" wrapText="1"/>
    </xf>
    <xf numFmtId="0" fontId="0" fillId="7" borderId="13" xfId="0" applyFill="1" applyBorder="1" applyAlignment="1">
      <alignment horizontal="center"/>
    </xf>
    <xf numFmtId="0" fontId="0" fillId="7" borderId="1" xfId="0" applyFill="1" applyBorder="1" applyAlignment="1">
      <alignment horizontal="center"/>
    </xf>
    <xf numFmtId="0" fontId="0" fillId="7" borderId="14" xfId="0" applyFill="1" applyBorder="1" applyAlignment="1">
      <alignment horizontal="center"/>
    </xf>
    <xf numFmtId="0" fontId="0" fillId="7" borderId="15" xfId="0" applyFill="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7" fillId="10" borderId="13" xfId="0" applyFont="1" applyFill="1" applyBorder="1" applyAlignment="1">
      <alignment horizontal="center" vertical="center"/>
    </xf>
    <xf numFmtId="0" fontId="17" fillId="10" borderId="1" xfId="0" applyFont="1" applyFill="1" applyBorder="1" applyAlignment="1">
      <alignment horizontal="center" vertical="center"/>
    </xf>
    <xf numFmtId="0" fontId="17" fillId="10" borderId="11" xfId="0" applyFont="1" applyFill="1" applyBorder="1" applyAlignment="1">
      <alignment horizontal="center" vertical="center"/>
    </xf>
    <xf numFmtId="0" fontId="18" fillId="0" borderId="1" xfId="0" applyFont="1" applyBorder="1" applyAlignment="1">
      <alignment horizontal="center" vertical="center"/>
    </xf>
    <xf numFmtId="0" fontId="18" fillId="0" borderId="11" xfId="0" applyFont="1" applyBorder="1" applyAlignment="1">
      <alignment horizontal="center" vertical="center"/>
    </xf>
    <xf numFmtId="0" fontId="18" fillId="0" borderId="13" xfId="0" applyFont="1" applyBorder="1" applyAlignment="1">
      <alignment horizontal="center" vertical="center"/>
    </xf>
    <xf numFmtId="0" fontId="26" fillId="0" borderId="7" xfId="0" applyFont="1" applyBorder="1" applyAlignment="1">
      <alignment horizontal="center" vertical="center" wrapText="1"/>
    </xf>
    <xf numFmtId="0" fontId="26" fillId="0" borderId="8" xfId="0" applyFont="1" applyBorder="1" applyAlignment="1">
      <alignment horizontal="center" vertical="center" wrapText="1"/>
    </xf>
    <xf numFmtId="0" fontId="1" fillId="7" borderId="1" xfId="0" applyFont="1" applyFill="1" applyBorder="1" applyAlignment="1">
      <alignment horizontal="center" vertical="center" wrapText="1"/>
    </xf>
    <xf numFmtId="0" fontId="17" fillId="13" borderId="12" xfId="0" applyFont="1" applyFill="1" applyBorder="1" applyAlignment="1">
      <alignment horizontal="center" vertical="center"/>
    </xf>
    <xf numFmtId="0" fontId="17" fillId="13" borderId="9" xfId="0" applyFont="1" applyFill="1" applyBorder="1" applyAlignment="1">
      <alignment horizontal="center" vertical="center"/>
    </xf>
    <xf numFmtId="0" fontId="17" fillId="13" borderId="10" xfId="0" applyFont="1" applyFill="1" applyBorder="1" applyAlignment="1">
      <alignment horizontal="center" vertical="center"/>
    </xf>
    <xf numFmtId="0" fontId="1" fillId="10"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13" borderId="1" xfId="0" applyFont="1" applyFill="1" applyBorder="1" applyAlignment="1">
      <alignment horizontal="center"/>
    </xf>
    <xf numFmtId="0" fontId="1" fillId="10" borderId="1" xfId="0" applyFont="1" applyFill="1" applyBorder="1" applyAlignment="1">
      <alignment horizontal="center" vertical="center"/>
    </xf>
  </cellXfs>
  <cellStyles count="1">
    <cellStyle name="Normal" xfId="0" builtinId="0"/>
  </cellStyles>
  <dxfs count="73">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92D05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10.69.4/koc/11%20-%20PROJECT/02.%20ENGINEERING/ENG-Engineering/5.%20Process%20Engineering%20Discipline/12.%20Line%20List/1.%20Master/KOC-000-PRO-LNL-0001-000%20Rev%20A01%20Line%20Li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ONFILE300/Proj$/H574_UMID/Eng/PR/16%20Line%20Lists/Offshore%20Line%20List%20Rev%20D02/UB01-KB-2020-PR-LST-00001-000%20Rev%20D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mykbr.com/Proj3/A042/PG/STP/Copy%20of%20jianfeng.stp"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0.10.69.4/koc/Users/leyla.natenadze/Desktop/12345/AGT%20Midstream%20Readiness%20Tracker%20-%200711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erat2ntshare1.perat2.chevrontexaco.net/share/is/Business%20Development/BDBC%20Business%20Coordination/ISBS%20Foundation%20Work/OA%20Qualification%20Evaluation%20For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Documents%20and%20Settings\kafav1\Local%20Settings\Temporary%20Internet%20Files\OLK9E\LC00-24-081-DAT-2001%20Rev%20R1%20Sand%20Packag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mykbr.com/Program%20Files/STP/Templates/kbr_processloadsheet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Users\rory.maguire\AppData\Local\Microsoft\Windows\Temporary%20Internet%20Files\Content.Outlook\CV5U3K2N\WP-CDZZZZ-IF-TEM-0001-00-P07%20Document%20Number%20Request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ion"/>
      <sheetName val="Table List"/>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s>
    <definedNames>
      <definedName name="addSelectedStreams" sheetId="0"/>
      <definedName name="availStreamsList_Clicked" sheetId="0"/>
      <definedName name="BalanceDlog.componentBtn_Clicked" sheetId="0"/>
      <definedName name="BalanceDlog.streamDelete_Clicked" sheetId="0"/>
      <definedName name="BalanceDlog.streamDown_Clicked" sheetId="0"/>
      <definedName name="BalanceDlog.streamUp_Clicked" sheetId="0"/>
      <definedName name="CompDlg.compDown_Clicked" sheetId="0"/>
      <definedName name="CompDlg.compList_Clicked" sheetId="0"/>
      <definedName name="CompDlg.compUp_Clicked" sheetId="0"/>
      <definedName name="compDown_Clicked" sheetId="0"/>
      <definedName name="compList_Clicked" sheetId="0"/>
      <definedName name="componentBtn_Clicked" sheetId="0"/>
      <definedName name="compUp_Clicked" sheetId="0"/>
      <definedName name="deleteAvailableStreams" sheetId="0"/>
      <definedName name="deleteSimFiles" sheetId="0"/>
      <definedName name="dialog.downArrow" sheetId="0"/>
      <definedName name="dialog.listWasClicked" sheetId="0"/>
      <definedName name="dialog.upArrow" sheetId="0"/>
      <definedName name="exportDir_Clicked" sheetId="0"/>
      <definedName name="getExportPath" sheetId="0"/>
      <definedName name="lstSimFile_Clicked" sheetId="0"/>
      <definedName name="pfdAddClick" sheetId="0"/>
      <definedName name="pfdDeleteClick" sheetId="0"/>
      <definedName name="pfdDir_Clicked" sheetId="0"/>
      <definedName name="pfdListClick" sheetId="0"/>
      <definedName name="pfdModClick" sheetId="0"/>
      <definedName name="projDir_Clicked" sheetId="0"/>
      <definedName name="selectedStreamsList_Clicked" sheetId="0"/>
      <definedName name="simFilesDialog" sheetId="0"/>
      <definedName name="SimFilesDir_Clicked" sheetId="0"/>
      <definedName name="streamAdd_Clicked" sheetId="0"/>
      <definedName name="streamAddClicked" sheetId="0"/>
      <definedName name="streamDelete_Clicked" sheetId="0"/>
      <definedName name="streamDown_Clicked" sheetId="0"/>
      <definedName name="streamList_Clicked" sheetId="0"/>
      <definedName name="streamUp_Clicked" sheetId="0"/>
      <definedName name="TffDir_Clicked" sheetId="0"/>
      <definedName name="visioDir_Clicked" sheetId="0"/>
    </defined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Table"/>
      <sheetName val="PathSetup"/>
      <sheetName val="Error Log"/>
      <sheetName val="SysBalance"/>
      <sheetName val="101J1"/>
      <sheetName val="101J"/>
      <sheetName val="121-J"/>
      <sheetName val="124-J"/>
      <sheetName val="116-C"/>
      <sheetName val="116MC"/>
      <sheetName val="128-C"/>
      <sheetName val="128MC"/>
      <sheetName val="162-C"/>
      <sheetName val="160-C"/>
      <sheetName val="161-C"/>
      <sheetName val="161MC"/>
      <sheetName val="160MC"/>
      <sheetName val="160C1"/>
      <sheetName val="130-C"/>
      <sheetName val="130C1"/>
      <sheetName val="115-C"/>
      <sheetName val="114-C"/>
      <sheetName val="172-C"/>
      <sheetName val="105-C"/>
      <sheetName val="114MCH"/>
      <sheetName val="134-C"/>
      <sheetName val="106-C"/>
      <sheetName val="131-C"/>
      <sheetName val="153-C"/>
      <sheetName val="B12"/>
      <sheetName val="188-C"/>
      <sheetName val="174-C"/>
      <sheetName val="107-C"/>
      <sheetName val="131MC"/>
      <sheetName val="172MC"/>
      <sheetName val="123-C"/>
      <sheetName val="142-D1"/>
      <sheetName val="142-D2"/>
      <sheetName val="144-D"/>
      <sheetName val="146-D"/>
      <sheetName val="Temp"/>
      <sheetName val="UOS-main-normal-eor(nh3-195)"/>
      <sheetName val="147-D"/>
      <sheetName val="130-D"/>
      <sheetName val="UOS-hpcond-norm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y Eval Form List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dex"/>
      <sheetName val="1.0 Process Data - PD (3)"/>
      <sheetName val="1.0 PD (4)"/>
      <sheetName val="1.0 PD (5)"/>
      <sheetName val="1.0 PD (6)"/>
      <sheetName val="1.0 PD (7)"/>
      <sheetName val="1.0 PD (8)"/>
      <sheetName val="1.0 PD (9)"/>
      <sheetName val="1.0 PD (10)"/>
      <sheetName val="1.0 PD (11)"/>
      <sheetName val="1.0 PD (12)"/>
      <sheetName val="1.0 PD (13)"/>
      <sheetName val="2.0 Process Sketch (1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mbols"/>
      <sheetName val="Compressor"/>
      <sheetName val="5StageComp"/>
      <sheetName val="HX"/>
      <sheetName val="HX (3 Phase)"/>
      <sheetName val="HCCurve"/>
      <sheetName val="HCCurve (3 Phase)"/>
      <sheetName val="Pump Loadsheet"/>
      <sheetName val="Furnace"/>
      <sheetName val="RotaryPump"/>
      <sheetName val="Pump"/>
      <sheetName val="Trayload"/>
      <sheetName val="Vessel"/>
      <sheetName val="Column"/>
      <sheetName val="PFD"/>
      <sheetName val="D_HX"/>
      <sheetName val="D_HX (3 Phase)"/>
      <sheetName val="D_RotaryPump"/>
      <sheetName val="D_Pump Loadsheet"/>
      <sheetName val="D_Pump"/>
      <sheetName val="D_TrayLoad"/>
      <sheetName val="D_Column"/>
      <sheetName val="D_Vessel"/>
      <sheetName val="D_Furnace"/>
      <sheetName val="D_Compressor"/>
      <sheetName val="D_5StageComp"/>
      <sheetName val="Table List"/>
      <sheetName val="Validati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R-ACG SD"/>
      <sheetName val="DNR-BTC"/>
      <sheetName val="DRN-SCPX"/>
      <sheetName val="ACG SD Codes"/>
      <sheetName val="BTC Codes"/>
      <sheetName val="SCPX Codes"/>
      <sheetName val="Rev"/>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93"/>
  <sheetViews>
    <sheetView tabSelected="1" topLeftCell="N1" zoomScale="70" zoomScaleNormal="70" workbookViewId="0">
      <selection activeCell="U5" sqref="U5"/>
    </sheetView>
  </sheetViews>
  <sheetFormatPr defaultRowHeight="15.75"/>
  <cols>
    <col min="1" max="1" width="18.140625" hidden="1" customWidth="1"/>
    <col min="2" max="2" width="10.85546875" hidden="1" customWidth="1"/>
    <col min="3" max="3" width="11.140625" hidden="1" customWidth="1"/>
    <col min="4" max="4" width="9.85546875" hidden="1" customWidth="1"/>
    <col min="5" max="5" width="9" hidden="1" customWidth="1"/>
    <col min="6" max="6" width="13.140625" hidden="1" customWidth="1"/>
    <col min="7" max="9" width="0" hidden="1" customWidth="1"/>
    <col min="10" max="10" width="14.42578125" hidden="1" customWidth="1"/>
    <col min="11" max="11" width="10.140625" hidden="1" customWidth="1"/>
    <col min="12" max="12" width="18.85546875" style="7" customWidth="1"/>
    <col min="13" max="13" width="10.140625" customWidth="1"/>
    <col min="14" max="14" width="12.5703125" style="22" customWidth="1"/>
    <col min="15" max="15" width="10.5703125" style="31" customWidth="1"/>
    <col min="16" max="16" width="21.140625" customWidth="1"/>
    <col min="17" max="17" width="24.28515625" customWidth="1"/>
    <col min="18" max="18" width="34.140625" customWidth="1"/>
    <col min="19" max="19" width="27.7109375" customWidth="1"/>
    <col min="20" max="20" width="29.5703125" customWidth="1"/>
    <col min="21" max="21" width="20.85546875" customWidth="1"/>
    <col min="22" max="22" width="29.7109375" style="8" customWidth="1"/>
    <col min="23" max="23" width="29.5703125" customWidth="1"/>
  </cols>
  <sheetData>
    <row r="1" spans="1:22" ht="30">
      <c r="A1" s="1"/>
      <c r="B1" s="1">
        <v>2023</v>
      </c>
      <c r="C1" s="1">
        <v>2022</v>
      </c>
      <c r="D1" s="1" t="s">
        <v>0</v>
      </c>
      <c r="E1" s="2" t="s">
        <v>1</v>
      </c>
      <c r="F1" s="3" t="s">
        <v>2</v>
      </c>
      <c r="G1" s="4" t="s">
        <v>3</v>
      </c>
      <c r="H1" s="5" t="s">
        <v>4</v>
      </c>
      <c r="I1" s="6" t="s">
        <v>5</v>
      </c>
      <c r="L1" s="7" t="s">
        <v>20</v>
      </c>
      <c r="N1" s="180" t="s">
        <v>21</v>
      </c>
      <c r="O1" s="181"/>
      <c r="P1" s="151" t="s">
        <v>27</v>
      </c>
      <c r="Q1" s="152" t="s">
        <v>28</v>
      </c>
      <c r="R1" s="153" t="s">
        <v>3</v>
      </c>
      <c r="S1" s="154" t="s">
        <v>2</v>
      </c>
      <c r="T1" s="155" t="s">
        <v>29</v>
      </c>
      <c r="U1" s="156" t="s">
        <v>116</v>
      </c>
    </row>
    <row r="2" spans="1:22" s="11" customFormat="1" ht="16.5" customHeight="1">
      <c r="A2" s="9" t="s">
        <v>6</v>
      </c>
      <c r="B2" s="10">
        <v>15048491</v>
      </c>
      <c r="C2" s="10">
        <v>10314913</v>
      </c>
      <c r="D2" s="9">
        <v>1</v>
      </c>
      <c r="E2" s="9" t="s">
        <v>7</v>
      </c>
      <c r="F2" s="9">
        <f>B2*D2/100</f>
        <v>150484.91</v>
      </c>
      <c r="G2" s="9">
        <f>F2/10</f>
        <v>15048.491</v>
      </c>
      <c r="H2" s="9">
        <f>F2/100</f>
        <v>1504.8491000000001</v>
      </c>
      <c r="I2" s="9">
        <f>F2/1000</f>
        <v>150.48491000000001</v>
      </c>
      <c r="N2" s="182" t="s">
        <v>22</v>
      </c>
      <c r="O2" s="183"/>
      <c r="P2" s="12">
        <v>1</v>
      </c>
      <c r="Q2" s="12">
        <v>2</v>
      </c>
      <c r="R2" s="12">
        <v>3</v>
      </c>
      <c r="S2" s="12">
        <v>4</v>
      </c>
      <c r="T2" s="12">
        <v>5</v>
      </c>
      <c r="U2" s="157"/>
      <c r="V2" s="13"/>
    </row>
    <row r="3" spans="1:22" ht="32.25" customHeight="1">
      <c r="A3" s="1" t="s">
        <v>8</v>
      </c>
      <c r="B3" s="10">
        <v>12956608</v>
      </c>
      <c r="C3" s="10">
        <v>8808865</v>
      </c>
      <c r="D3" s="1">
        <v>5</v>
      </c>
      <c r="E3" s="1" t="s">
        <v>7</v>
      </c>
      <c r="F3" s="1">
        <f>B3*D3/100</f>
        <v>647830.4</v>
      </c>
      <c r="G3" s="1">
        <f>F3/10</f>
        <v>64783.040000000001</v>
      </c>
      <c r="H3" s="1">
        <f t="shared" ref="H3:I6" si="0">G3/10</f>
        <v>6478.3040000000001</v>
      </c>
      <c r="I3" s="1">
        <f t="shared" si="0"/>
        <v>647.83040000000005</v>
      </c>
      <c r="N3" s="182" t="s">
        <v>23</v>
      </c>
      <c r="O3" s="183"/>
      <c r="P3" s="14" t="s">
        <v>147</v>
      </c>
      <c r="Q3" s="15" t="s">
        <v>149</v>
      </c>
      <c r="R3" s="15" t="s">
        <v>148</v>
      </c>
      <c r="S3" s="15" t="s">
        <v>165</v>
      </c>
      <c r="T3" s="119" t="s">
        <v>236</v>
      </c>
      <c r="U3" s="158" t="s">
        <v>237</v>
      </c>
    </row>
    <row r="4" spans="1:22" ht="108" customHeight="1">
      <c r="A4" s="1" t="s">
        <v>9</v>
      </c>
      <c r="B4" s="16">
        <v>71515725</v>
      </c>
      <c r="C4" s="16">
        <v>58679678</v>
      </c>
      <c r="D4" s="1">
        <v>2</v>
      </c>
      <c r="E4" s="1" t="s">
        <v>7</v>
      </c>
      <c r="F4" s="1">
        <f>B4*D4/100</f>
        <v>1430314.5</v>
      </c>
      <c r="G4" s="1">
        <f>F4/10</f>
        <v>143031.45000000001</v>
      </c>
      <c r="H4" s="1">
        <f t="shared" si="0"/>
        <v>14303.145</v>
      </c>
      <c r="I4" s="1">
        <f t="shared" si="0"/>
        <v>1430.3145</v>
      </c>
      <c r="N4" s="167" t="s">
        <v>113</v>
      </c>
      <c r="O4" s="184"/>
      <c r="P4" s="17" t="s">
        <v>287</v>
      </c>
      <c r="Q4" s="17" t="s">
        <v>30</v>
      </c>
      <c r="R4" s="17" t="s">
        <v>171</v>
      </c>
      <c r="S4" s="17" t="s">
        <v>170</v>
      </c>
      <c r="T4" s="17" t="s">
        <v>286</v>
      </c>
      <c r="U4" s="158" t="s">
        <v>150</v>
      </c>
    </row>
    <row r="5" spans="1:22" ht="75.599999999999994" customHeight="1">
      <c r="A5" s="1"/>
      <c r="B5" s="16"/>
      <c r="C5" s="16"/>
      <c r="D5" s="1"/>
      <c r="E5" s="1"/>
      <c r="F5" s="1"/>
      <c r="G5" s="1"/>
      <c r="H5" s="1"/>
      <c r="I5" s="1"/>
      <c r="N5" s="167" t="s">
        <v>114</v>
      </c>
      <c r="O5" s="184"/>
      <c r="P5" s="17" t="s">
        <v>115</v>
      </c>
      <c r="Q5" s="17" t="s">
        <v>169</v>
      </c>
      <c r="R5" s="17" t="s">
        <v>166</v>
      </c>
      <c r="S5" s="17" t="s">
        <v>168</v>
      </c>
      <c r="T5" s="17" t="s">
        <v>167</v>
      </c>
      <c r="U5" s="158" t="s">
        <v>284</v>
      </c>
    </row>
    <row r="6" spans="1:22" ht="120" customHeight="1">
      <c r="A6" s="18" t="s">
        <v>10</v>
      </c>
      <c r="B6" s="19">
        <v>10111710</v>
      </c>
      <c r="C6" s="19">
        <v>7037581</v>
      </c>
      <c r="D6" s="18">
        <v>1</v>
      </c>
      <c r="E6" s="18" t="s">
        <v>7</v>
      </c>
      <c r="F6" s="18">
        <f>B6*D6/100</f>
        <v>101117.1</v>
      </c>
      <c r="G6" s="18">
        <f>F6/10</f>
        <v>10111.710000000001</v>
      </c>
      <c r="H6" s="18">
        <f t="shared" si="0"/>
        <v>1011.171</v>
      </c>
      <c r="I6" s="18">
        <f t="shared" si="0"/>
        <v>101.11710000000001</v>
      </c>
      <c r="N6" s="167" t="s">
        <v>24</v>
      </c>
      <c r="O6" s="183"/>
      <c r="P6" s="20" t="s">
        <v>31</v>
      </c>
      <c r="Q6" s="20" t="s">
        <v>32</v>
      </c>
      <c r="R6" s="20" t="s">
        <v>172</v>
      </c>
      <c r="S6" s="20" t="s">
        <v>151</v>
      </c>
      <c r="T6" s="20" t="s">
        <v>244</v>
      </c>
      <c r="U6" s="158" t="s">
        <v>152</v>
      </c>
    </row>
    <row r="7" spans="1:22" ht="86.1" customHeight="1">
      <c r="D7" s="21"/>
      <c r="N7" s="167" t="s">
        <v>25</v>
      </c>
      <c r="O7" s="148" t="s">
        <v>35</v>
      </c>
      <c r="P7" s="17" t="s">
        <v>173</v>
      </c>
      <c r="Q7" s="17" t="s">
        <v>174</v>
      </c>
      <c r="R7" s="17" t="s">
        <v>175</v>
      </c>
      <c r="S7" s="17" t="s">
        <v>153</v>
      </c>
      <c r="T7" s="17" t="s">
        <v>154</v>
      </c>
      <c r="U7" s="158" t="s">
        <v>176</v>
      </c>
    </row>
    <row r="8" spans="1:22" ht="105.75" customHeight="1" thickBot="1">
      <c r="N8" s="168"/>
      <c r="O8" s="159" t="s">
        <v>26</v>
      </c>
      <c r="P8" s="160" t="s">
        <v>33</v>
      </c>
      <c r="Q8" s="160" t="s">
        <v>34</v>
      </c>
      <c r="R8" s="160" t="s">
        <v>155</v>
      </c>
      <c r="S8" s="160" t="s">
        <v>156</v>
      </c>
      <c r="T8" s="160" t="s">
        <v>285</v>
      </c>
      <c r="U8" s="161" t="s">
        <v>157</v>
      </c>
    </row>
    <row r="12" spans="1:22" ht="27" customHeight="1">
      <c r="L12" s="7" t="s">
        <v>36</v>
      </c>
      <c r="O12" s="169" t="s">
        <v>37</v>
      </c>
      <c r="P12" s="170"/>
      <c r="Q12" s="170"/>
      <c r="R12" s="171"/>
    </row>
    <row r="13" spans="1:22" ht="31.5" customHeight="1">
      <c r="O13" s="82" t="s">
        <v>38</v>
      </c>
      <c r="P13" s="82" t="s">
        <v>39</v>
      </c>
      <c r="Q13" s="83" t="s">
        <v>40</v>
      </c>
      <c r="R13" s="82" t="s">
        <v>41</v>
      </c>
    </row>
    <row r="14" spans="1:22" ht="70.5" customHeight="1">
      <c r="O14" s="23" t="s">
        <v>5</v>
      </c>
      <c r="P14" s="24" t="s">
        <v>44</v>
      </c>
      <c r="Q14" s="25" t="s">
        <v>45</v>
      </c>
      <c r="R14" s="24" t="s">
        <v>46</v>
      </c>
      <c r="U14" s="26"/>
    </row>
    <row r="15" spans="1:22" ht="105">
      <c r="O15" s="27" t="s">
        <v>42</v>
      </c>
      <c r="P15" s="24" t="s">
        <v>47</v>
      </c>
      <c r="Q15" s="24" t="s">
        <v>48</v>
      </c>
      <c r="R15" s="24" t="s">
        <v>49</v>
      </c>
      <c r="U15" s="26"/>
    </row>
    <row r="16" spans="1:22" ht="150">
      <c r="O16" s="28" t="s">
        <v>3</v>
      </c>
      <c r="P16" s="24" t="s">
        <v>50</v>
      </c>
      <c r="Q16" s="25" t="s">
        <v>51</v>
      </c>
      <c r="R16" s="25" t="s">
        <v>106</v>
      </c>
      <c r="U16" s="26"/>
    </row>
    <row r="17" spans="1:21" ht="135">
      <c r="O17" s="29" t="s">
        <v>2</v>
      </c>
      <c r="P17" s="25" t="s">
        <v>52</v>
      </c>
      <c r="Q17" s="25" t="s">
        <v>53</v>
      </c>
      <c r="R17" s="100" t="s">
        <v>132</v>
      </c>
      <c r="U17" s="26"/>
    </row>
    <row r="18" spans="1:21" ht="137.25" customHeight="1">
      <c r="O18" s="30" t="s">
        <v>43</v>
      </c>
      <c r="P18" s="25" t="s">
        <v>54</v>
      </c>
      <c r="Q18" s="25" t="s">
        <v>55</v>
      </c>
      <c r="R18" s="25" t="s">
        <v>107</v>
      </c>
      <c r="U18" s="26"/>
    </row>
    <row r="22" spans="1:21" ht="16.5" thickBot="1"/>
    <row r="23" spans="1:21" ht="16.5" customHeight="1">
      <c r="L23" s="7" t="s">
        <v>56</v>
      </c>
      <c r="P23" s="177" t="s">
        <v>120</v>
      </c>
      <c r="Q23" s="178"/>
      <c r="R23" s="178"/>
      <c r="S23" s="179"/>
      <c r="U23" s="172"/>
    </row>
    <row r="24" spans="1:21" ht="32.25" customHeight="1">
      <c r="P24" s="84" t="s">
        <v>121</v>
      </c>
      <c r="Q24" s="85" t="s">
        <v>122</v>
      </c>
      <c r="R24" s="85" t="s">
        <v>123</v>
      </c>
      <c r="S24" s="86" t="s">
        <v>124</v>
      </c>
      <c r="U24" s="172"/>
    </row>
    <row r="25" spans="1:21" ht="39" customHeight="1">
      <c r="P25" s="87">
        <v>1</v>
      </c>
      <c r="Q25" s="88" t="s">
        <v>58</v>
      </c>
      <c r="R25" s="24" t="s">
        <v>242</v>
      </c>
      <c r="S25" s="64" t="s">
        <v>125</v>
      </c>
      <c r="U25" s="172"/>
    </row>
    <row r="26" spans="1:21" ht="30" customHeight="1">
      <c r="P26" s="89">
        <v>2</v>
      </c>
      <c r="Q26" s="90" t="s">
        <v>109</v>
      </c>
      <c r="R26" s="24" t="s">
        <v>239</v>
      </c>
      <c r="S26" s="64" t="s">
        <v>126</v>
      </c>
      <c r="T26" s="113"/>
      <c r="U26" s="172"/>
    </row>
    <row r="27" spans="1:21" ht="44.25" customHeight="1">
      <c r="P27" s="91">
        <v>3</v>
      </c>
      <c r="Q27" s="92" t="s">
        <v>127</v>
      </c>
      <c r="R27" s="24" t="s">
        <v>240</v>
      </c>
      <c r="S27" s="64" t="s">
        <v>128</v>
      </c>
      <c r="U27" s="172"/>
    </row>
    <row r="28" spans="1:21" ht="44.25" customHeight="1">
      <c r="A28" s="32"/>
      <c r="B28" s="33"/>
      <c r="C28" s="34"/>
      <c r="D28" s="34"/>
      <c r="E28" s="34"/>
      <c r="F28" s="34"/>
      <c r="P28" s="93">
        <v>4</v>
      </c>
      <c r="Q28" s="94" t="s">
        <v>108</v>
      </c>
      <c r="R28" s="24" t="s">
        <v>241</v>
      </c>
      <c r="S28" s="64" t="s">
        <v>129</v>
      </c>
    </row>
    <row r="29" spans="1:21" ht="45.75" customHeight="1" thickBot="1">
      <c r="A29" s="35"/>
      <c r="B29" s="36"/>
      <c r="C29" s="37"/>
      <c r="D29" s="37"/>
      <c r="E29" s="37"/>
      <c r="F29" s="37"/>
      <c r="P29" s="95">
        <v>5</v>
      </c>
      <c r="Q29" s="96" t="s">
        <v>130</v>
      </c>
      <c r="R29" s="65" t="s">
        <v>238</v>
      </c>
      <c r="S29" s="97" t="s">
        <v>131</v>
      </c>
    </row>
    <row r="30" spans="1:21">
      <c r="A30" s="35"/>
      <c r="B30" s="36"/>
      <c r="C30" s="37"/>
      <c r="D30" s="37"/>
      <c r="E30" s="37"/>
      <c r="F30" s="37"/>
    </row>
    <row r="31" spans="1:21">
      <c r="A31" s="32"/>
      <c r="B31" s="33"/>
      <c r="C31" s="38"/>
      <c r="D31" s="38"/>
      <c r="E31" s="38"/>
      <c r="F31" s="38"/>
      <c r="P31" s="39"/>
      <c r="Q31" s="40"/>
      <c r="R31" s="41"/>
    </row>
    <row r="32" spans="1:21">
      <c r="A32" s="35"/>
      <c r="B32" s="36"/>
      <c r="C32" s="37"/>
      <c r="D32" s="37"/>
      <c r="E32" s="37"/>
      <c r="F32" s="37"/>
      <c r="P32" s="39"/>
      <c r="Q32" s="40"/>
    </row>
    <row r="33" spans="1:24" s="44" customFormat="1" ht="16.5" thickBot="1">
      <c r="A33" s="42"/>
      <c r="B33" s="36"/>
      <c r="C33" s="35"/>
      <c r="D33" s="43"/>
      <c r="E33" s="43"/>
      <c r="F33"/>
      <c r="G33"/>
      <c r="H33"/>
      <c r="I33"/>
      <c r="J33"/>
      <c r="K33"/>
      <c r="L33" s="7"/>
      <c r="M33"/>
      <c r="N33" s="22"/>
      <c r="O33" s="31"/>
      <c r="P33"/>
      <c r="Q33"/>
      <c r="R33"/>
      <c r="S33"/>
      <c r="T33"/>
      <c r="U33"/>
      <c r="V33" s="8"/>
    </row>
    <row r="34" spans="1:24" ht="18.75">
      <c r="A34" s="32"/>
      <c r="B34" s="36"/>
      <c r="C34" s="35"/>
      <c r="D34" s="43"/>
      <c r="E34" s="43"/>
      <c r="L34" s="66" t="s">
        <v>67</v>
      </c>
      <c r="P34" s="173" t="s">
        <v>305</v>
      </c>
      <c r="Q34" s="174"/>
      <c r="R34" s="174"/>
      <c r="S34" s="174"/>
      <c r="T34" s="174"/>
      <c r="U34" s="174"/>
      <c r="V34" s="175"/>
    </row>
    <row r="35" spans="1:24" ht="30">
      <c r="A35" s="32"/>
      <c r="B35" s="36"/>
      <c r="C35" s="35"/>
      <c r="D35" s="43"/>
      <c r="E35" s="43"/>
      <c r="P35" s="176" t="s">
        <v>59</v>
      </c>
      <c r="Q35" s="45" t="s">
        <v>112</v>
      </c>
      <c r="R35" s="46" t="s">
        <v>289</v>
      </c>
      <c r="S35" s="47" t="s">
        <v>292</v>
      </c>
      <c r="T35" s="48" t="s">
        <v>291</v>
      </c>
      <c r="U35" s="49" t="s">
        <v>296</v>
      </c>
      <c r="V35" s="162" t="s">
        <v>296</v>
      </c>
    </row>
    <row r="36" spans="1:24" ht="30">
      <c r="A36" s="32"/>
      <c r="B36" s="36"/>
      <c r="C36" s="35"/>
      <c r="D36" s="43"/>
      <c r="E36" s="43"/>
      <c r="P36" s="176"/>
      <c r="Q36" s="45" t="s">
        <v>111</v>
      </c>
      <c r="R36" s="46" t="s">
        <v>289</v>
      </c>
      <c r="S36" s="47" t="s">
        <v>292</v>
      </c>
      <c r="T36" s="48" t="s">
        <v>291</v>
      </c>
      <c r="U36" s="48" t="s">
        <v>291</v>
      </c>
      <c r="V36" s="162" t="s">
        <v>296</v>
      </c>
    </row>
    <row r="37" spans="1:24" ht="30">
      <c r="A37" s="35"/>
      <c r="B37" s="36"/>
      <c r="C37" s="37"/>
      <c r="D37" s="37"/>
      <c r="E37" s="37"/>
      <c r="P37" s="176"/>
      <c r="Q37" s="50" t="s">
        <v>60</v>
      </c>
      <c r="R37" s="51" t="s">
        <v>288</v>
      </c>
      <c r="S37" s="46" t="s">
        <v>289</v>
      </c>
      <c r="T37" s="47" t="s">
        <v>292</v>
      </c>
      <c r="U37" s="48" t="s">
        <v>291</v>
      </c>
      <c r="V37" s="163" t="s">
        <v>291</v>
      </c>
    </row>
    <row r="38" spans="1:24" ht="29.1" customHeight="1">
      <c r="A38" s="35"/>
      <c r="B38" s="36"/>
      <c r="C38" s="37"/>
      <c r="D38" s="37"/>
      <c r="E38" s="37"/>
      <c r="P38" s="176"/>
      <c r="Q38" s="50" t="s">
        <v>110</v>
      </c>
      <c r="R38" s="51" t="s">
        <v>11</v>
      </c>
      <c r="S38" s="46" t="s">
        <v>42</v>
      </c>
      <c r="T38" s="46" t="s">
        <v>289</v>
      </c>
      <c r="U38" s="47" t="s">
        <v>292</v>
      </c>
      <c r="V38" s="164" t="s">
        <v>292</v>
      </c>
      <c r="W38" s="190" t="s">
        <v>66</v>
      </c>
    </row>
    <row r="39" spans="1:24" ht="30">
      <c r="A39" s="35"/>
      <c r="B39" s="36"/>
      <c r="C39" s="37"/>
      <c r="D39" s="37"/>
      <c r="E39" s="37"/>
      <c r="P39" s="176"/>
      <c r="Q39" s="50" t="s">
        <v>61</v>
      </c>
      <c r="R39" s="51" t="s">
        <v>288</v>
      </c>
      <c r="S39" s="51" t="s">
        <v>288</v>
      </c>
      <c r="T39" s="150" t="s">
        <v>5</v>
      </c>
      <c r="U39" s="46" t="s">
        <v>42</v>
      </c>
      <c r="V39" s="164" t="s">
        <v>297</v>
      </c>
      <c r="W39" s="190"/>
    </row>
    <row r="40" spans="1:24" ht="30">
      <c r="A40" s="35"/>
      <c r="B40" s="36"/>
      <c r="C40" s="52"/>
      <c r="D40" s="37"/>
      <c r="E40" s="37"/>
      <c r="P40" s="191"/>
      <c r="Q40" s="192"/>
      <c r="R40" s="45" t="s">
        <v>12</v>
      </c>
      <c r="S40" s="45" t="s">
        <v>63</v>
      </c>
      <c r="T40" s="45" t="s">
        <v>62</v>
      </c>
      <c r="U40" s="45" t="s">
        <v>64</v>
      </c>
      <c r="V40" s="166" t="s">
        <v>65</v>
      </c>
      <c r="W40" s="190"/>
    </row>
    <row r="41" spans="1:24" ht="16.5" thickBot="1">
      <c r="A41" s="35"/>
      <c r="B41" s="36"/>
      <c r="C41" s="37"/>
      <c r="D41" s="37"/>
      <c r="E41" s="37"/>
      <c r="P41" s="193"/>
      <c r="Q41" s="194"/>
      <c r="R41" s="195" t="s">
        <v>307</v>
      </c>
      <c r="S41" s="195"/>
      <c r="T41" s="195"/>
      <c r="U41" s="195"/>
      <c r="V41" s="196"/>
    </row>
    <row r="42" spans="1:24">
      <c r="A42" s="35"/>
      <c r="B42" s="36"/>
      <c r="C42" s="43"/>
      <c r="D42" s="37"/>
      <c r="E42" s="37"/>
    </row>
    <row r="43" spans="1:24">
      <c r="A43" s="32"/>
      <c r="B43" s="36"/>
      <c r="C43" s="53"/>
      <c r="D43" s="53"/>
      <c r="E43" s="53"/>
    </row>
    <row r="44" spans="1:24">
      <c r="A44" s="35"/>
      <c r="B44" s="36"/>
      <c r="C44" s="54"/>
      <c r="D44" s="54"/>
      <c r="E44" s="54"/>
      <c r="X44" s="55"/>
    </row>
    <row r="45" spans="1:24" ht="30">
      <c r="A45" s="32"/>
      <c r="B45" s="36"/>
      <c r="C45" s="54"/>
      <c r="D45" s="54"/>
      <c r="E45" s="54"/>
      <c r="L45" s="66" t="s">
        <v>68</v>
      </c>
      <c r="P45" s="120" t="s">
        <v>69</v>
      </c>
      <c r="Q45" s="121" t="s">
        <v>70</v>
      </c>
      <c r="R45" s="121" t="s">
        <v>300</v>
      </c>
      <c r="S45" s="122" t="s">
        <v>306</v>
      </c>
      <c r="T45" s="121" t="s">
        <v>299</v>
      </c>
      <c r="U45" s="56"/>
    </row>
    <row r="46" spans="1:24">
      <c r="A46" s="35"/>
      <c r="B46" s="36"/>
      <c r="C46" s="37"/>
      <c r="D46" s="37"/>
      <c r="E46" s="37"/>
      <c r="P46" s="123" t="s">
        <v>74</v>
      </c>
      <c r="Q46" s="203" t="s">
        <v>302</v>
      </c>
      <c r="R46" s="203" t="s">
        <v>301</v>
      </c>
      <c r="S46" s="203" t="s">
        <v>303</v>
      </c>
      <c r="T46" s="203" t="s">
        <v>304</v>
      </c>
      <c r="U46" s="56"/>
    </row>
    <row r="47" spans="1:24" ht="40.9" customHeight="1">
      <c r="A47" s="35"/>
      <c r="B47" s="36"/>
      <c r="C47" s="37"/>
      <c r="D47" s="37"/>
      <c r="E47" s="37"/>
      <c r="P47" s="124" t="s">
        <v>75</v>
      </c>
      <c r="Q47" s="204"/>
      <c r="R47" s="204"/>
      <c r="S47" s="204"/>
      <c r="T47" s="204"/>
      <c r="U47" s="56"/>
    </row>
    <row r="48" spans="1:24" ht="26.45" customHeight="1">
      <c r="A48" s="35"/>
      <c r="B48" s="36"/>
      <c r="C48" s="52"/>
      <c r="D48" s="37"/>
      <c r="E48" s="37"/>
      <c r="P48" s="125" t="s">
        <v>290</v>
      </c>
      <c r="Q48" s="126" t="s">
        <v>13</v>
      </c>
      <c r="R48" s="127" t="s">
        <v>14</v>
      </c>
      <c r="S48" s="128" t="s">
        <v>14</v>
      </c>
      <c r="T48" s="127" t="s">
        <v>14</v>
      </c>
      <c r="U48" s="149" t="s">
        <v>293</v>
      </c>
    </row>
    <row r="49" spans="1:21" ht="28.5">
      <c r="A49" s="35"/>
      <c r="B49" s="36"/>
      <c r="C49" s="52"/>
      <c r="D49" s="37"/>
      <c r="E49" s="37"/>
      <c r="P49" s="129" t="s">
        <v>291</v>
      </c>
      <c r="Q49" s="126" t="s">
        <v>13</v>
      </c>
      <c r="R49" s="127" t="s">
        <v>14</v>
      </c>
      <c r="S49" s="128" t="s">
        <v>14</v>
      </c>
      <c r="T49" s="127" t="s">
        <v>14</v>
      </c>
      <c r="U49" s="56"/>
    </row>
    <row r="50" spans="1:21" ht="28.5">
      <c r="A50" s="35"/>
      <c r="B50" s="36"/>
      <c r="C50" s="37"/>
      <c r="D50" s="37"/>
      <c r="E50" s="37"/>
      <c r="P50" s="130" t="s">
        <v>292</v>
      </c>
      <c r="Q50" s="126" t="s">
        <v>13</v>
      </c>
      <c r="R50" s="127" t="s">
        <v>14</v>
      </c>
      <c r="S50" s="128" t="s">
        <v>14</v>
      </c>
      <c r="T50" s="127" t="s">
        <v>14</v>
      </c>
      <c r="U50" s="56"/>
    </row>
    <row r="51" spans="1:21" ht="28.5">
      <c r="A51" s="32"/>
      <c r="B51" s="36"/>
      <c r="C51" s="53"/>
      <c r="D51" s="53"/>
      <c r="E51" s="53"/>
      <c r="P51" s="132" t="s">
        <v>289</v>
      </c>
      <c r="Q51" s="127" t="s">
        <v>14</v>
      </c>
      <c r="R51" s="127" t="s">
        <v>14</v>
      </c>
      <c r="S51" s="133" t="s">
        <v>245</v>
      </c>
      <c r="T51" s="131" t="s">
        <v>13</v>
      </c>
      <c r="U51" s="56"/>
    </row>
    <row r="52" spans="1:21" ht="28.5">
      <c r="A52" s="32"/>
      <c r="B52" s="33"/>
      <c r="C52" s="53"/>
      <c r="D52" s="53"/>
      <c r="E52" s="53"/>
      <c r="P52" s="134" t="s">
        <v>288</v>
      </c>
      <c r="Q52" s="127" t="s">
        <v>14</v>
      </c>
      <c r="R52" s="131" t="s">
        <v>13</v>
      </c>
      <c r="S52" s="133" t="s">
        <v>245</v>
      </c>
      <c r="T52" s="131" t="s">
        <v>13</v>
      </c>
      <c r="U52" s="56"/>
    </row>
    <row r="53" spans="1:21">
      <c r="A53" s="32"/>
      <c r="B53" s="36"/>
      <c r="C53" s="57"/>
      <c r="D53" s="43"/>
      <c r="E53" s="43"/>
    </row>
    <row r="54" spans="1:21">
      <c r="A54" s="32"/>
      <c r="B54" s="36"/>
      <c r="C54" s="43"/>
      <c r="D54" s="43"/>
      <c r="E54" s="43"/>
    </row>
    <row r="55" spans="1:21">
      <c r="A55" s="35"/>
      <c r="B55" s="36"/>
      <c r="C55" s="43"/>
      <c r="D55" s="43"/>
      <c r="E55" s="43"/>
    </row>
    <row r="56" spans="1:21">
      <c r="A56" s="32"/>
      <c r="B56" s="36"/>
      <c r="C56" s="43"/>
      <c r="D56" s="43"/>
      <c r="E56" s="43"/>
    </row>
    <row r="57" spans="1:21">
      <c r="A57" s="58"/>
      <c r="B57" s="36"/>
      <c r="C57" s="52"/>
      <c r="D57" s="37"/>
      <c r="E57" s="37"/>
    </row>
    <row r="58" spans="1:21">
      <c r="A58" s="35"/>
      <c r="B58" s="36"/>
      <c r="C58" s="37"/>
      <c r="D58" s="37"/>
      <c r="E58" s="37"/>
      <c r="L58" s="66" t="s">
        <v>84</v>
      </c>
      <c r="P58" s="205" t="s">
        <v>85</v>
      </c>
      <c r="Q58" s="59">
        <v>1</v>
      </c>
      <c r="R58" s="60">
        <v>2</v>
      </c>
      <c r="S58" s="61">
        <v>3</v>
      </c>
      <c r="T58" s="62">
        <v>4</v>
      </c>
      <c r="U58" s="101">
        <v>5</v>
      </c>
    </row>
    <row r="59" spans="1:21" ht="15.6" customHeight="1">
      <c r="A59" s="32"/>
      <c r="B59" s="36"/>
      <c r="C59" s="53"/>
      <c r="D59" s="53"/>
      <c r="E59" s="53"/>
      <c r="P59" s="205"/>
      <c r="Q59" s="59" t="s">
        <v>86</v>
      </c>
      <c r="R59" s="60" t="s">
        <v>87</v>
      </c>
      <c r="S59" s="61" t="s">
        <v>88</v>
      </c>
      <c r="T59" s="62" t="s">
        <v>89</v>
      </c>
      <c r="U59" s="102" t="s">
        <v>90</v>
      </c>
    </row>
    <row r="60" spans="1:21" ht="159.94999999999999" hidden="1" customHeight="1" thickBot="1">
      <c r="A60" s="58"/>
      <c r="B60" s="36"/>
      <c r="C60" s="54"/>
      <c r="D60" s="54"/>
      <c r="E60" s="54"/>
      <c r="P60" s="110" t="s">
        <v>57</v>
      </c>
      <c r="Q60" s="104" t="s">
        <v>92</v>
      </c>
      <c r="R60" s="104" t="s">
        <v>93</v>
      </c>
      <c r="S60" s="104" t="s">
        <v>94</v>
      </c>
      <c r="T60" s="104" t="s">
        <v>95</v>
      </c>
      <c r="U60" s="104" t="s">
        <v>96</v>
      </c>
    </row>
    <row r="61" spans="1:21" ht="188.45" customHeight="1">
      <c r="A61" s="32"/>
      <c r="B61" s="36"/>
      <c r="C61" s="54"/>
      <c r="D61" s="54"/>
      <c r="E61" s="54"/>
      <c r="P61" s="111" t="s">
        <v>188</v>
      </c>
      <c r="Q61" s="24" t="s">
        <v>220</v>
      </c>
      <c r="R61" s="24" t="s">
        <v>221</v>
      </c>
      <c r="S61" s="24" t="s">
        <v>222</v>
      </c>
      <c r="T61" s="24" t="s">
        <v>223</v>
      </c>
      <c r="U61" s="24" t="s">
        <v>224</v>
      </c>
    </row>
    <row r="62" spans="1:21" ht="150">
      <c r="A62" s="32"/>
      <c r="B62" s="36"/>
      <c r="C62" s="54"/>
      <c r="D62" s="54"/>
      <c r="E62" s="54"/>
      <c r="P62" s="112" t="s">
        <v>189</v>
      </c>
      <c r="Q62" s="24" t="s">
        <v>225</v>
      </c>
      <c r="R62" s="24" t="s">
        <v>226</v>
      </c>
      <c r="S62" s="24" t="s">
        <v>227</v>
      </c>
      <c r="T62" s="24" t="s">
        <v>228</v>
      </c>
      <c r="U62" s="24" t="s">
        <v>229</v>
      </c>
    </row>
    <row r="63" spans="1:21">
      <c r="A63" s="32"/>
      <c r="B63" s="36"/>
      <c r="C63" s="54"/>
      <c r="D63" s="54"/>
      <c r="E63" s="54"/>
    </row>
    <row r="64" spans="1:21">
      <c r="A64" s="58"/>
      <c r="B64" s="36"/>
      <c r="C64" s="52"/>
      <c r="D64" s="37"/>
      <c r="E64" s="37"/>
    </row>
    <row r="65" spans="1:23" ht="16.5" thickBot="1">
      <c r="A65" s="35"/>
      <c r="B65" s="36"/>
      <c r="C65" s="52"/>
      <c r="D65" s="37"/>
      <c r="E65" s="37"/>
    </row>
    <row r="66" spans="1:23">
      <c r="A66" s="58"/>
      <c r="B66" s="36"/>
      <c r="C66" s="52"/>
      <c r="D66" s="37"/>
      <c r="E66" s="37"/>
      <c r="P66" s="206" t="s">
        <v>102</v>
      </c>
      <c r="Q66" s="207"/>
      <c r="R66" s="207"/>
      <c r="S66" s="207"/>
      <c r="T66" s="207"/>
      <c r="U66" s="207"/>
      <c r="V66" s="207"/>
      <c r="W66" s="208"/>
    </row>
    <row r="67" spans="1:23" ht="28.5" customHeight="1">
      <c r="A67" s="58"/>
      <c r="B67" s="36"/>
      <c r="C67" s="52"/>
      <c r="D67" s="43"/>
      <c r="E67" s="43"/>
      <c r="L67" s="66" t="s">
        <v>101</v>
      </c>
      <c r="P67" s="197" t="s">
        <v>103</v>
      </c>
      <c r="Q67" s="198"/>
      <c r="R67" s="198"/>
      <c r="S67" s="198"/>
      <c r="T67" s="198"/>
      <c r="U67" s="198"/>
      <c r="V67" s="198"/>
      <c r="W67" s="199"/>
    </row>
    <row r="68" spans="1:23">
      <c r="A68" s="58"/>
      <c r="B68" s="36"/>
      <c r="C68" s="52"/>
      <c r="D68" s="37"/>
      <c r="E68" s="37"/>
      <c r="P68" s="63" t="s">
        <v>16</v>
      </c>
      <c r="Q68" s="200" t="s">
        <v>104</v>
      </c>
      <c r="R68" s="200"/>
      <c r="S68" s="200"/>
      <c r="T68" s="200"/>
      <c r="U68" s="200"/>
      <c r="V68" s="200"/>
      <c r="W68" s="201"/>
    </row>
    <row r="69" spans="1:23" ht="33.75">
      <c r="A69" s="32"/>
      <c r="B69" s="36"/>
      <c r="C69" s="53"/>
      <c r="D69" s="53"/>
      <c r="E69" s="53"/>
      <c r="P69" s="63" t="s">
        <v>105</v>
      </c>
      <c r="Q69" s="67" t="s">
        <v>182</v>
      </c>
      <c r="R69" s="68" t="s">
        <v>184</v>
      </c>
      <c r="S69" s="67" t="s">
        <v>186</v>
      </c>
      <c r="T69" s="68"/>
      <c r="U69" s="67"/>
      <c r="V69" s="69"/>
      <c r="W69" s="70"/>
    </row>
    <row r="70" spans="1:23" ht="22.5">
      <c r="A70" s="32"/>
      <c r="B70" s="32"/>
      <c r="C70" s="53"/>
      <c r="D70" s="53"/>
      <c r="E70" s="53"/>
      <c r="P70" s="71" t="s">
        <v>102</v>
      </c>
      <c r="Q70" s="67" t="s">
        <v>183</v>
      </c>
      <c r="R70" s="68" t="s">
        <v>185</v>
      </c>
      <c r="S70" s="67" t="s">
        <v>187</v>
      </c>
      <c r="T70" s="68"/>
      <c r="U70" s="67"/>
      <c r="V70" s="69"/>
      <c r="W70" s="70"/>
    </row>
    <row r="71" spans="1:23">
      <c r="A71" s="32"/>
      <c r="B71" s="32"/>
      <c r="C71" s="53"/>
      <c r="D71" s="53"/>
      <c r="E71" s="53"/>
      <c r="P71" s="202" t="s">
        <v>178</v>
      </c>
      <c r="Q71" s="200"/>
      <c r="R71" s="200"/>
      <c r="S71" s="200"/>
      <c r="T71" s="200"/>
      <c r="U71" s="200"/>
      <c r="V71" s="200"/>
      <c r="W71" s="201"/>
    </row>
    <row r="72" spans="1:23">
      <c r="A72" s="32"/>
      <c r="B72" s="32"/>
      <c r="C72" s="53"/>
      <c r="D72" s="53"/>
      <c r="E72" s="53"/>
      <c r="P72" s="72"/>
      <c r="Q72" s="73"/>
      <c r="R72" s="68"/>
      <c r="S72" s="73"/>
      <c r="T72" s="68"/>
      <c r="U72" s="67"/>
      <c r="V72" s="74" t="s">
        <v>17</v>
      </c>
      <c r="W72" s="75" t="s">
        <v>18</v>
      </c>
    </row>
    <row r="73" spans="1:23">
      <c r="P73" s="71" t="s">
        <v>179</v>
      </c>
      <c r="Q73" s="73">
        <v>1</v>
      </c>
      <c r="R73" s="68">
        <v>1</v>
      </c>
      <c r="S73" s="73">
        <v>2</v>
      </c>
      <c r="T73" s="68"/>
      <c r="U73" s="67"/>
      <c r="V73" s="69"/>
      <c r="W73" s="70"/>
    </row>
    <row r="74" spans="1:23">
      <c r="P74" s="71" t="s">
        <v>180</v>
      </c>
      <c r="Q74" s="73">
        <v>2</v>
      </c>
      <c r="R74" s="68">
        <v>1</v>
      </c>
      <c r="S74" s="73">
        <v>3</v>
      </c>
      <c r="T74" s="68"/>
      <c r="U74" s="67"/>
      <c r="V74" s="69"/>
      <c r="W74" s="70"/>
    </row>
    <row r="75" spans="1:23" ht="23.25" thickBot="1">
      <c r="P75" s="76" t="s">
        <v>181</v>
      </c>
      <c r="Q75" s="77">
        <f>AVERAGE(Q73:Q74)</f>
        <v>1.5</v>
      </c>
      <c r="R75" s="78">
        <f>AVERAGE(R73:R74)</f>
        <v>1</v>
      </c>
      <c r="S75" s="77">
        <f>AVERAGE(S73:S74)</f>
        <v>2.5</v>
      </c>
      <c r="T75" s="78"/>
      <c r="U75" s="79"/>
      <c r="V75" s="80">
        <f>AVERAGE(Q75:S75)</f>
        <v>1.6666666666666667</v>
      </c>
      <c r="W75" s="81" t="s">
        <v>19</v>
      </c>
    </row>
    <row r="77" spans="1:23" ht="16.5" thickBot="1"/>
    <row r="78" spans="1:23">
      <c r="L78" s="7" t="s">
        <v>141</v>
      </c>
      <c r="P78" s="177" t="s">
        <v>133</v>
      </c>
      <c r="Q78" s="178" t="s">
        <v>134</v>
      </c>
      <c r="R78" s="178"/>
      <c r="S78" s="178"/>
      <c r="T78" s="178"/>
      <c r="U78" s="178"/>
      <c r="V78" s="179"/>
    </row>
    <row r="79" spans="1:23" ht="30">
      <c r="P79" s="186"/>
      <c r="Q79" s="45" t="s">
        <v>135</v>
      </c>
      <c r="R79" s="98" t="s">
        <v>5</v>
      </c>
      <c r="S79" s="46" t="s">
        <v>42</v>
      </c>
      <c r="T79" s="99" t="s">
        <v>3</v>
      </c>
      <c r="U79" s="48" t="s">
        <v>2</v>
      </c>
      <c r="V79" s="162" t="s">
        <v>143</v>
      </c>
    </row>
    <row r="80" spans="1:23" ht="30">
      <c r="P80" s="186"/>
      <c r="Q80" s="45" t="s">
        <v>136</v>
      </c>
      <c r="R80" s="98" t="s">
        <v>5</v>
      </c>
      <c r="S80" s="46" t="s">
        <v>42</v>
      </c>
      <c r="T80" s="99" t="s">
        <v>3</v>
      </c>
      <c r="U80" s="48" t="s">
        <v>2</v>
      </c>
      <c r="V80" s="162" t="s">
        <v>143</v>
      </c>
    </row>
    <row r="81" spans="12:23" ht="36.6" customHeight="1">
      <c r="P81" s="186"/>
      <c r="Q81" s="45" t="s">
        <v>137</v>
      </c>
      <c r="R81" s="98" t="s">
        <v>5</v>
      </c>
      <c r="S81" s="51" t="s">
        <v>5</v>
      </c>
      <c r="T81" s="46" t="s">
        <v>42</v>
      </c>
      <c r="U81" s="47" t="s">
        <v>3</v>
      </c>
      <c r="V81" s="163" t="s">
        <v>2</v>
      </c>
      <c r="W81" s="105"/>
    </row>
    <row r="82" spans="12:23" ht="30">
      <c r="P82" s="186"/>
      <c r="Q82" s="45" t="s">
        <v>138</v>
      </c>
      <c r="R82" s="98" t="s">
        <v>5</v>
      </c>
      <c r="S82" s="51" t="s">
        <v>5</v>
      </c>
      <c r="T82" s="46" t="s">
        <v>42</v>
      </c>
      <c r="U82" s="47" t="s">
        <v>3</v>
      </c>
      <c r="V82" s="164" t="s">
        <v>3</v>
      </c>
    </row>
    <row r="83" spans="12:23" ht="36.950000000000003" customHeight="1">
      <c r="P83" s="186"/>
      <c r="Q83" s="45" t="s">
        <v>139</v>
      </c>
      <c r="R83" s="98" t="s">
        <v>5</v>
      </c>
      <c r="S83" s="51" t="s">
        <v>5</v>
      </c>
      <c r="T83" s="46" t="s">
        <v>42</v>
      </c>
      <c r="U83" s="46" t="s">
        <v>42</v>
      </c>
      <c r="V83" s="164" t="s">
        <v>3</v>
      </c>
      <c r="W83" s="105" t="s">
        <v>294</v>
      </c>
    </row>
    <row r="84" spans="12:23" ht="30">
      <c r="P84" s="186"/>
      <c r="Q84" s="117"/>
      <c r="R84" s="117" t="s">
        <v>140</v>
      </c>
      <c r="S84" s="117" t="s">
        <v>298</v>
      </c>
      <c r="T84" s="117" t="s">
        <v>62</v>
      </c>
      <c r="U84" s="117" t="s">
        <v>64</v>
      </c>
      <c r="V84" s="165" t="s">
        <v>142</v>
      </c>
    </row>
    <row r="85" spans="12:23" ht="16.5" thickBot="1">
      <c r="P85" s="187"/>
      <c r="Q85" s="188" t="s">
        <v>295</v>
      </c>
      <c r="R85" s="188"/>
      <c r="S85" s="188"/>
      <c r="T85" s="188"/>
      <c r="U85" s="188"/>
      <c r="V85" s="189"/>
    </row>
    <row r="87" spans="12:23">
      <c r="Q87" t="s">
        <v>281</v>
      </c>
    </row>
    <row r="88" spans="12:23" ht="30" customHeight="1">
      <c r="L88" s="7" t="s">
        <v>144</v>
      </c>
      <c r="P88" s="66" t="s">
        <v>145</v>
      </c>
    </row>
    <row r="90" spans="12:23" ht="15.6" customHeight="1">
      <c r="P90" s="185" t="s">
        <v>230</v>
      </c>
      <c r="Q90" s="115" t="s">
        <v>231</v>
      </c>
    </row>
    <row r="91" spans="12:23" ht="41.1" customHeight="1">
      <c r="P91" s="185"/>
      <c r="Q91" s="115" t="s">
        <v>232</v>
      </c>
    </row>
    <row r="92" spans="12:23">
      <c r="P92" s="185"/>
      <c r="Q92" s="115" t="s">
        <v>233</v>
      </c>
    </row>
    <row r="93" spans="12:23" ht="150">
      <c r="P93" s="114" t="s">
        <v>235</v>
      </c>
      <c r="Q93" s="116" t="s">
        <v>234</v>
      </c>
    </row>
  </sheetData>
  <mergeCells count="28">
    <mergeCell ref="P90:P92"/>
    <mergeCell ref="P78:P85"/>
    <mergeCell ref="Q78:V78"/>
    <mergeCell ref="Q85:V85"/>
    <mergeCell ref="W38:W40"/>
    <mergeCell ref="P40:Q41"/>
    <mergeCell ref="R41:V41"/>
    <mergeCell ref="P67:W67"/>
    <mergeCell ref="Q68:W68"/>
    <mergeCell ref="P71:W71"/>
    <mergeCell ref="Q46:Q47"/>
    <mergeCell ref="R46:R47"/>
    <mergeCell ref="S46:S47"/>
    <mergeCell ref="T46:T47"/>
    <mergeCell ref="P58:P59"/>
    <mergeCell ref="P66:W66"/>
    <mergeCell ref="N1:O1"/>
    <mergeCell ref="N2:O2"/>
    <mergeCell ref="N3:O3"/>
    <mergeCell ref="N4:O4"/>
    <mergeCell ref="N6:O6"/>
    <mergeCell ref="N5:O5"/>
    <mergeCell ref="N7:N8"/>
    <mergeCell ref="O12:R12"/>
    <mergeCell ref="U23:U27"/>
    <mergeCell ref="P34:V34"/>
    <mergeCell ref="P35:P39"/>
    <mergeCell ref="P23:S2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selection sqref="A1:F1"/>
    </sheetView>
  </sheetViews>
  <sheetFormatPr defaultRowHeight="15"/>
  <sheetData>
    <row r="1" spans="1:6" ht="292.5">
      <c r="A1" s="17" t="s">
        <v>117</v>
      </c>
      <c r="B1" s="17" t="s">
        <v>177</v>
      </c>
      <c r="C1" s="17" t="s">
        <v>243</v>
      </c>
      <c r="D1" s="17" t="s">
        <v>118</v>
      </c>
      <c r="E1" s="17" t="s">
        <v>119</v>
      </c>
      <c r="F1" s="118" t="s">
        <v>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0"/>
  <sheetViews>
    <sheetView zoomScale="80" zoomScaleNormal="80" workbookViewId="0">
      <selection activeCell="M2" sqref="M2:Q9"/>
    </sheetView>
  </sheetViews>
  <sheetFormatPr defaultRowHeight="15"/>
  <cols>
    <col min="2" max="2" width="12.42578125" customWidth="1"/>
    <col min="3" max="3" width="11.85546875" customWidth="1"/>
    <col min="4" max="4" width="29" customWidth="1"/>
    <col min="5" max="5" width="23.42578125" customWidth="1"/>
    <col min="6" max="6" width="29.5703125" customWidth="1"/>
    <col min="7" max="7" width="30.5703125" customWidth="1"/>
    <col min="8" max="8" width="23.5703125" customWidth="1"/>
    <col min="13" max="13" width="17.42578125" customWidth="1"/>
    <col min="14" max="14" width="14.85546875" customWidth="1"/>
    <col min="15" max="15" width="12.42578125" customWidth="1"/>
    <col min="16" max="16" width="17.28515625" customWidth="1"/>
    <col min="17" max="17" width="16" customWidth="1"/>
  </cols>
  <sheetData>
    <row r="1" spans="2:17">
      <c r="B1" s="212" t="s">
        <v>16</v>
      </c>
      <c r="C1" s="211" t="s">
        <v>218</v>
      </c>
      <c r="D1" s="211"/>
      <c r="E1" s="211"/>
      <c r="F1" s="211"/>
      <c r="G1" s="211"/>
      <c r="H1" s="211"/>
    </row>
    <row r="2" spans="2:17" ht="30">
      <c r="B2" s="212"/>
      <c r="C2" s="211" t="s">
        <v>188</v>
      </c>
      <c r="D2" s="211"/>
      <c r="E2" s="211"/>
      <c r="F2" s="211" t="s">
        <v>219</v>
      </c>
      <c r="G2" s="211"/>
      <c r="H2" s="106"/>
      <c r="M2" s="120" t="s">
        <v>69</v>
      </c>
      <c r="N2" s="121" t="s">
        <v>70</v>
      </c>
      <c r="O2" s="121" t="s">
        <v>71</v>
      </c>
      <c r="P2" s="122" t="s">
        <v>72</v>
      </c>
      <c r="Q2" s="121" t="s">
        <v>73</v>
      </c>
    </row>
    <row r="3" spans="2:17">
      <c r="B3" s="212"/>
      <c r="C3" s="107" t="s">
        <v>91</v>
      </c>
      <c r="D3" s="107" t="s">
        <v>160</v>
      </c>
      <c r="E3" s="107" t="s">
        <v>163</v>
      </c>
      <c r="F3" s="108" t="s">
        <v>161</v>
      </c>
      <c r="G3" s="108" t="s">
        <v>164</v>
      </c>
      <c r="H3" s="107" t="s">
        <v>162</v>
      </c>
      <c r="M3" s="123" t="s">
        <v>74</v>
      </c>
      <c r="N3" s="203" t="s">
        <v>76</v>
      </c>
      <c r="O3" s="203" t="s">
        <v>77</v>
      </c>
      <c r="P3" s="203" t="s">
        <v>78</v>
      </c>
      <c r="Q3" s="203" t="s">
        <v>79</v>
      </c>
    </row>
    <row r="4" spans="2:17" ht="88.5" customHeight="1">
      <c r="B4" s="109" t="s">
        <v>158</v>
      </c>
      <c r="C4" s="1"/>
      <c r="D4" s="1"/>
      <c r="E4" s="1"/>
      <c r="F4" s="1"/>
      <c r="G4" s="1"/>
      <c r="H4" s="1"/>
      <c r="M4" s="124" t="s">
        <v>75</v>
      </c>
      <c r="N4" s="204"/>
      <c r="O4" s="204"/>
      <c r="P4" s="204"/>
      <c r="Q4" s="204"/>
    </row>
    <row r="5" spans="2:17" ht="28.5">
      <c r="B5" s="109" t="s">
        <v>159</v>
      </c>
      <c r="C5" s="1"/>
      <c r="D5" s="1"/>
      <c r="E5" s="1"/>
      <c r="F5" s="1"/>
      <c r="G5" s="1"/>
      <c r="H5" s="1"/>
      <c r="M5" s="125" t="s">
        <v>80</v>
      </c>
      <c r="N5" s="126" t="s">
        <v>13</v>
      </c>
      <c r="O5" s="127" t="s">
        <v>14</v>
      </c>
      <c r="P5" s="128" t="s">
        <v>14</v>
      </c>
      <c r="Q5" s="127" t="s">
        <v>14</v>
      </c>
    </row>
    <row r="6" spans="2:17" ht="28.5">
      <c r="M6" s="129" t="s">
        <v>81</v>
      </c>
      <c r="N6" s="126" t="s">
        <v>13</v>
      </c>
      <c r="O6" s="127" t="s">
        <v>14</v>
      </c>
      <c r="P6" s="128" t="s">
        <v>14</v>
      </c>
      <c r="Q6" s="127" t="s">
        <v>14</v>
      </c>
    </row>
    <row r="7" spans="2:17" ht="28.5">
      <c r="M7" s="130" t="s">
        <v>82</v>
      </c>
      <c r="N7" s="126" t="s">
        <v>13</v>
      </c>
      <c r="O7" s="127" t="s">
        <v>14</v>
      </c>
      <c r="P7" s="128" t="s">
        <v>14</v>
      </c>
      <c r="Q7" s="131" t="s">
        <v>13</v>
      </c>
    </row>
    <row r="8" spans="2:17" ht="29.45" customHeight="1">
      <c r="M8" s="132" t="s">
        <v>83</v>
      </c>
      <c r="N8" s="127" t="s">
        <v>14</v>
      </c>
      <c r="O8" s="127" t="s">
        <v>14</v>
      </c>
      <c r="P8" s="133" t="s">
        <v>245</v>
      </c>
      <c r="Q8" s="131" t="s">
        <v>13</v>
      </c>
    </row>
    <row r="9" spans="2:17" ht="28.5">
      <c r="M9" s="134" t="s">
        <v>15</v>
      </c>
      <c r="N9" s="127" t="s">
        <v>14</v>
      </c>
      <c r="O9" s="131" t="s">
        <v>13</v>
      </c>
      <c r="P9" s="133" t="s">
        <v>245</v>
      </c>
      <c r="Q9" s="131" t="s">
        <v>13</v>
      </c>
    </row>
    <row r="13" spans="2:17" ht="14.45" customHeight="1">
      <c r="B13" s="210" t="s">
        <v>85</v>
      </c>
      <c r="C13" s="210"/>
      <c r="D13" s="59">
        <v>1</v>
      </c>
      <c r="E13" s="60">
        <v>2</v>
      </c>
      <c r="F13" s="61">
        <v>3</v>
      </c>
      <c r="G13" s="62">
        <v>4</v>
      </c>
      <c r="H13" s="101">
        <v>5</v>
      </c>
    </row>
    <row r="14" spans="2:17" ht="30">
      <c r="B14" s="210"/>
      <c r="C14" s="210"/>
      <c r="D14" s="59" t="s">
        <v>86</v>
      </c>
      <c r="E14" s="60" t="s">
        <v>87</v>
      </c>
      <c r="F14" s="61" t="s">
        <v>88</v>
      </c>
      <c r="G14" s="62" t="s">
        <v>89</v>
      </c>
      <c r="H14" s="102" t="s">
        <v>90</v>
      </c>
    </row>
    <row r="15" spans="2:17" ht="90">
      <c r="B15" s="212" t="s">
        <v>188</v>
      </c>
      <c r="C15" s="103" t="s">
        <v>91</v>
      </c>
      <c r="D15" s="104" t="s">
        <v>193</v>
      </c>
      <c r="E15" s="24" t="s">
        <v>194</v>
      </c>
      <c r="F15" s="24" t="s">
        <v>195</v>
      </c>
      <c r="G15" s="24" t="s">
        <v>196</v>
      </c>
      <c r="H15" s="24" t="s">
        <v>206</v>
      </c>
    </row>
    <row r="16" spans="2:17" ht="150">
      <c r="B16" s="212"/>
      <c r="C16" s="103" t="s">
        <v>160</v>
      </c>
      <c r="D16" s="104" t="s">
        <v>192</v>
      </c>
      <c r="E16" s="24" t="s">
        <v>97</v>
      </c>
      <c r="F16" s="24" t="s">
        <v>98</v>
      </c>
      <c r="G16" s="24" t="s">
        <v>99</v>
      </c>
      <c r="H16" s="24" t="s">
        <v>100</v>
      </c>
    </row>
    <row r="17" spans="2:8" ht="105">
      <c r="B17" s="212"/>
      <c r="C17" s="103" t="s">
        <v>163</v>
      </c>
      <c r="D17" s="24" t="s">
        <v>197</v>
      </c>
      <c r="E17" s="24" t="s">
        <v>198</v>
      </c>
      <c r="F17" s="24" t="s">
        <v>200</v>
      </c>
      <c r="G17" s="24" t="s">
        <v>199</v>
      </c>
      <c r="H17" s="24" t="s">
        <v>201</v>
      </c>
    </row>
    <row r="18" spans="2:8" ht="90">
      <c r="B18" s="209" t="s">
        <v>180</v>
      </c>
      <c r="C18" s="103" t="s">
        <v>190</v>
      </c>
      <c r="D18" s="24" t="s">
        <v>202</v>
      </c>
      <c r="E18" s="105" t="s">
        <v>203</v>
      </c>
      <c r="F18" s="24" t="s">
        <v>204</v>
      </c>
      <c r="G18" s="24" t="s">
        <v>205</v>
      </c>
      <c r="H18" s="24" t="s">
        <v>207</v>
      </c>
    </row>
    <row r="19" spans="2:8" ht="30">
      <c r="B19" s="209"/>
      <c r="C19" s="103" t="s">
        <v>164</v>
      </c>
      <c r="D19" s="24" t="s">
        <v>208</v>
      </c>
      <c r="E19" s="24" t="s">
        <v>209</v>
      </c>
      <c r="F19" s="24" t="s">
        <v>210</v>
      </c>
      <c r="G19" s="1" t="s">
        <v>211</v>
      </c>
      <c r="H19" s="24" t="s">
        <v>212</v>
      </c>
    </row>
    <row r="20" spans="2:8" ht="30">
      <c r="B20" s="209"/>
      <c r="C20" s="103" t="s">
        <v>191</v>
      </c>
      <c r="D20" s="24" t="s">
        <v>213</v>
      </c>
      <c r="E20" s="24" t="s">
        <v>214</v>
      </c>
      <c r="F20" s="24" t="s">
        <v>215</v>
      </c>
      <c r="G20" s="24" t="s">
        <v>216</v>
      </c>
      <c r="H20" s="24" t="s">
        <v>217</v>
      </c>
    </row>
  </sheetData>
  <mergeCells count="11">
    <mergeCell ref="C1:H1"/>
    <mergeCell ref="C2:E2"/>
    <mergeCell ref="F2:G2"/>
    <mergeCell ref="B1:B3"/>
    <mergeCell ref="B15:B17"/>
    <mergeCell ref="O3:O4"/>
    <mergeCell ref="P3:P4"/>
    <mergeCell ref="Q3:Q4"/>
    <mergeCell ref="N3:N4"/>
    <mergeCell ref="B18:B20"/>
    <mergeCell ref="B13:C1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
  <sheetViews>
    <sheetView workbookViewId="0">
      <selection activeCell="AH2" sqref="AH2"/>
    </sheetView>
  </sheetViews>
  <sheetFormatPr defaultRowHeight="15"/>
  <cols>
    <col min="4" max="4" width="25.42578125" customWidth="1"/>
    <col min="9" max="9" width="12.5703125" customWidth="1"/>
    <col min="11" max="11" width="9.5703125" customWidth="1"/>
    <col min="12" max="12" width="15.5703125" customWidth="1"/>
    <col min="13" max="13" width="0" hidden="1" customWidth="1"/>
    <col min="14" max="14" width="12.85546875" hidden="1" customWidth="1"/>
    <col min="15" max="15" width="15" customWidth="1"/>
    <col min="20" max="20" width="10.140625" customWidth="1"/>
    <col min="21" max="21" width="10.42578125" customWidth="1"/>
    <col min="22" max="22" width="15.85546875" customWidth="1"/>
    <col min="29" max="29" width="10.42578125" customWidth="1"/>
    <col min="32" max="32" width="15.42578125" customWidth="1"/>
  </cols>
  <sheetData>
    <row r="1" spans="1:32" s="105" customFormat="1" ht="79.5" customHeight="1">
      <c r="A1" s="138" t="s">
        <v>259</v>
      </c>
      <c r="B1" s="138" t="s">
        <v>246</v>
      </c>
      <c r="C1" s="138" t="s">
        <v>247</v>
      </c>
      <c r="D1" s="138" t="s">
        <v>260</v>
      </c>
      <c r="E1" s="138" t="s">
        <v>254</v>
      </c>
      <c r="F1" s="138" t="s">
        <v>261</v>
      </c>
      <c r="G1" s="138" t="s">
        <v>256</v>
      </c>
      <c r="H1" s="138" t="s">
        <v>255</v>
      </c>
      <c r="I1" s="138" t="s">
        <v>262</v>
      </c>
      <c r="J1" s="138" t="s">
        <v>263</v>
      </c>
      <c r="K1" s="138" t="s">
        <v>264</v>
      </c>
      <c r="L1" s="138" t="s">
        <v>265</v>
      </c>
      <c r="M1" s="138" t="s">
        <v>266</v>
      </c>
      <c r="N1" s="138" t="s">
        <v>267</v>
      </c>
      <c r="O1" s="145" t="s">
        <v>268</v>
      </c>
      <c r="P1" s="145" t="s">
        <v>248</v>
      </c>
      <c r="Q1" s="145" t="s">
        <v>249</v>
      </c>
      <c r="R1" s="145" t="s">
        <v>250</v>
      </c>
      <c r="S1" s="138" t="s">
        <v>23</v>
      </c>
      <c r="T1" s="138" t="s">
        <v>251</v>
      </c>
      <c r="U1" s="138" t="s">
        <v>91</v>
      </c>
      <c r="V1" s="138" t="s">
        <v>252</v>
      </c>
      <c r="W1" s="138" t="s">
        <v>269</v>
      </c>
      <c r="X1" s="138" t="s">
        <v>59</v>
      </c>
      <c r="Y1" s="138" t="s">
        <v>270</v>
      </c>
      <c r="Z1" s="138" t="s">
        <v>253</v>
      </c>
      <c r="AA1" s="138" t="s">
        <v>271</v>
      </c>
      <c r="AB1" s="138" t="s">
        <v>272</v>
      </c>
      <c r="AC1" s="138" t="s">
        <v>133</v>
      </c>
      <c r="AD1" s="138" t="s">
        <v>273</v>
      </c>
      <c r="AE1" s="146" t="s">
        <v>141</v>
      </c>
      <c r="AF1" s="147" t="s">
        <v>283</v>
      </c>
    </row>
    <row r="2" spans="1:32" ht="48" customHeight="1">
      <c r="A2" s="137" t="s">
        <v>274</v>
      </c>
      <c r="B2" s="137" t="s">
        <v>250</v>
      </c>
      <c r="C2" s="139" t="s">
        <v>275</v>
      </c>
      <c r="D2" s="139" t="s">
        <v>276</v>
      </c>
      <c r="E2" s="139" t="s">
        <v>277</v>
      </c>
      <c r="F2" s="137"/>
      <c r="G2" s="140" t="s">
        <v>278</v>
      </c>
      <c r="H2" s="137" t="s">
        <v>279</v>
      </c>
      <c r="I2" s="137" t="s">
        <v>280</v>
      </c>
      <c r="J2" s="144" t="s">
        <v>35</v>
      </c>
      <c r="K2" s="137" t="s">
        <v>280</v>
      </c>
      <c r="L2" s="137" t="s">
        <v>282</v>
      </c>
      <c r="M2" s="141"/>
      <c r="N2" s="141"/>
      <c r="O2" s="135">
        <v>3</v>
      </c>
      <c r="P2" s="135">
        <v>2</v>
      </c>
      <c r="Q2" s="135">
        <v>1</v>
      </c>
      <c r="R2" s="135">
        <v>3</v>
      </c>
      <c r="S2" s="135">
        <v>2</v>
      </c>
      <c r="T2" s="135">
        <v>1</v>
      </c>
      <c r="U2" s="136">
        <v>2</v>
      </c>
      <c r="V2" s="137" t="s">
        <v>257</v>
      </c>
      <c r="W2" s="142" t="str">
        <f>IF(OR(AND(V2="Minimal")),"1",IF(OR(AND(V2="Low")),"2",IF(OR(AND(V2="Medium")),"3",IF(OR(AND(V2="High")),"4",IF(OR(AND(V2="Maximum")),"5")))))</f>
        <v>3</v>
      </c>
      <c r="X2" s="137" t="s">
        <v>258</v>
      </c>
      <c r="Y2" s="142" t="str">
        <f>IF(OR(AND(X2="Rare")),"1",IF(OR(AND(X2="Unlikely")),"2",IF(OR(AND(X2="Possible")),"3",IF(OR(AND(X2="Likely")),"4",IF(OR(AND(X2="Certain")),"5")))))</f>
        <v>2</v>
      </c>
      <c r="Z2" s="136" t="str">
        <f>IF(OR(AND(X2="Rare",OR(V2="Minimal",V2="Low")),AND(X2="Unlikely",OR(V2="Minimal",V2="Low")),AND(X2="Unlikely",OR(V2="Minimal")),AND(X2="Possible",OR(V2="Minimal"))),"Minimal",IF(OR(AND(X2="Rare",OR(V2="Medium",V2="High",V2="Maximum")),AND(X2="Unlikely",OR(V2="Medium")),AND(X2="Possible",OR(V2="Low")),AND(X2="Certain",OR(V2="Minimal")),AND(X2="Likely",OR(V2="Minimal"))),"Low",IF(OR(AND(X2="Unlikely",OR(V2="High",V2="Maximum")),AND(X2="Possible",OR(V2="Medium")),AND(X2="Likely",OR(V2="Low")),AND(X2="Certain",OR(V2="Low"))),"Medium",IF(OR(AND(X2="Possible",OR(V2="High",V2="Maximum")),AND(X2="Likely",OR(V2="Medium",V2="High")),AND(X2="Certain",OR(V2="Medium"))),"High",IF(OR(AND(X2="Certain",OR(V2="High",V2="Maximum")),AND(X2="Likely",OR(V2="Maximum"))),"Critic")))))</f>
        <v>Low</v>
      </c>
      <c r="AA2" s="136"/>
      <c r="AB2" s="136"/>
      <c r="AC2" s="136" t="s">
        <v>281</v>
      </c>
      <c r="AD2" s="136"/>
      <c r="AE2" s="143"/>
      <c r="AF2" s="143"/>
    </row>
  </sheetData>
  <conditionalFormatting sqref="R2:S2 Y2 W2">
    <cfRule type="containsText" dxfId="72" priority="71" operator="containsText" text="1">
      <formula>NOT(ISERROR(SEARCH("1",R2)))</formula>
    </cfRule>
    <cfRule type="containsText" dxfId="71" priority="72" operator="containsText" text="2">
      <formula>NOT(ISERROR(SEARCH("2",R2)))</formula>
    </cfRule>
    <cfRule type="containsText" dxfId="70" priority="73" operator="containsText" text="3">
      <formula>NOT(ISERROR(SEARCH("3",R2)))</formula>
    </cfRule>
    <cfRule type="containsText" dxfId="69" priority="74" operator="containsText" text="4">
      <formula>NOT(ISERROR(SEARCH("4",R2)))</formula>
    </cfRule>
    <cfRule type="containsText" dxfId="68" priority="75" operator="containsText" text="5">
      <formula>NOT(ISERROR(SEARCH("5",R2)))</formula>
    </cfRule>
  </conditionalFormatting>
  <conditionalFormatting sqref="T1:U2">
    <cfRule type="containsText" dxfId="67" priority="61" operator="containsText" text="5">
      <formula>NOT(ISERROR(SEARCH("5",T1)))</formula>
    </cfRule>
    <cfRule type="containsText" dxfId="66" priority="62" operator="containsText" text="4">
      <formula>NOT(ISERROR(SEARCH("4",T1)))</formula>
    </cfRule>
    <cfRule type="containsText" dxfId="65" priority="63" operator="containsText" text="3">
      <formula>NOT(ISERROR(SEARCH("3",T1)))</formula>
    </cfRule>
    <cfRule type="containsText" dxfId="64" priority="64" operator="containsText" text="2">
      <formula>NOT(ISERROR(SEARCH("2",T1)))</formula>
    </cfRule>
    <cfRule type="containsText" dxfId="63" priority="65" operator="containsText" text="1">
      <formula>NOT(ISERROR(SEARCH("1",T1)))</formula>
    </cfRule>
  </conditionalFormatting>
  <conditionalFormatting sqref="S1">
    <cfRule type="containsText" dxfId="62" priority="66" operator="containsText" text="1">
      <formula>NOT(ISERROR(SEARCH("1",S1)))</formula>
    </cfRule>
    <cfRule type="containsText" dxfId="61" priority="67" operator="containsText" text="2">
      <formula>NOT(ISERROR(SEARCH("2",S1)))</formula>
    </cfRule>
    <cfRule type="containsText" dxfId="60" priority="68" operator="containsText" text="3">
      <formula>NOT(ISERROR(SEARCH("3",S1)))</formula>
    </cfRule>
    <cfRule type="containsText" dxfId="59" priority="69" operator="containsText" text="4">
      <formula>NOT(ISERROR(SEARCH("4",S1)))</formula>
    </cfRule>
    <cfRule type="containsText" dxfId="58" priority="70" operator="containsText" text="5">
      <formula>NOT(ISERROR(SEARCH("5",S1)))</formula>
    </cfRule>
  </conditionalFormatting>
  <conditionalFormatting sqref="V2">
    <cfRule type="containsText" dxfId="57" priority="51" operator="containsText" text="Minimal">
      <formula>NOT(ISERROR(SEARCH("Minimal",V2)))</formula>
    </cfRule>
    <cfRule type="containsText" dxfId="56" priority="57" operator="containsText" text="Çox">
      <formula>NOT(ISERROR(SEARCH("Çox",V2)))</formula>
    </cfRule>
    <cfRule type="containsText" dxfId="55" priority="58" operator="containsText" text="Orta">
      <formula>NOT(ISERROR(SEARCH("Orta",V2)))</formula>
    </cfRule>
    <cfRule type="containsText" dxfId="54" priority="59" operator="containsText" text="Maksimal">
      <formula>NOT(ISERROR(SEARCH("Maksimal",V2)))</formula>
    </cfRule>
    <cfRule type="containsText" dxfId="53" priority="60" operator="containsText" text="Az">
      <formula>NOT(ISERROR(SEARCH("Az",V2)))</formula>
    </cfRule>
  </conditionalFormatting>
  <conditionalFormatting sqref="X2">
    <cfRule type="containsText" dxfId="52" priority="52" operator="containsText" text="Az ehtimal edilən">
      <formula>NOT(ISERROR(SEARCH("Az ehtimal edilən",X2)))</formula>
    </cfRule>
    <cfRule type="containsText" dxfId="51" priority="53" operator="containsText" text="Çox ehtimal edilən">
      <formula>NOT(ISERROR(SEARCH("Çox ehtimal edilən",X2)))</formula>
    </cfRule>
    <cfRule type="containsText" dxfId="50" priority="54" operator="containsText" text="Mümkün">
      <formula>NOT(ISERROR(SEARCH("Mümkün",X2)))</formula>
    </cfRule>
    <cfRule type="containsText" dxfId="49" priority="55" operator="containsText" text="Mütəmadi">
      <formula>NOT(ISERROR(SEARCH("Mütəmadi",X2)))</formula>
    </cfRule>
    <cfRule type="containsText" priority="56" operator="containsText" text="Müt">
      <formula>NOT(ISERROR(SEARCH("Müt",X2)))</formula>
    </cfRule>
  </conditionalFormatting>
  <conditionalFormatting sqref="V1">
    <cfRule type="containsText" dxfId="48" priority="36" operator="containsText" text="Minimal">
      <formula>NOT(ISERROR(SEARCH("Minimal",V1)))</formula>
    </cfRule>
    <cfRule type="containsText" dxfId="47" priority="47" operator="containsText" text="Çox">
      <formula>NOT(ISERROR(SEARCH("Çox",V1)))</formula>
    </cfRule>
    <cfRule type="containsText" dxfId="46" priority="48" operator="containsText" text="Orta">
      <formula>NOT(ISERROR(SEARCH("Orta",V1)))</formula>
    </cfRule>
    <cfRule type="containsText" dxfId="45" priority="49" operator="containsText" text="Maksimal">
      <formula>NOT(ISERROR(SEARCH("Maksimal",V1)))</formula>
    </cfRule>
    <cfRule type="containsText" dxfId="44" priority="50" operator="containsText" text="Az">
      <formula>NOT(ISERROR(SEARCH("Az",V1)))</formula>
    </cfRule>
  </conditionalFormatting>
  <conditionalFormatting sqref="X1">
    <cfRule type="containsText" dxfId="43" priority="42" operator="containsText" text="Az ehtimal edilən">
      <formula>NOT(ISERROR(SEARCH("Az ehtimal edilən",X1)))</formula>
    </cfRule>
    <cfRule type="containsText" dxfId="42" priority="43" operator="containsText" text="Çox ehtimal edilən">
      <formula>NOT(ISERROR(SEARCH("Çox ehtimal edilən",X1)))</formula>
    </cfRule>
    <cfRule type="containsText" dxfId="41" priority="44" operator="containsText" text="Mümkün">
      <formula>NOT(ISERROR(SEARCH("Mümkün",X1)))</formula>
    </cfRule>
    <cfRule type="containsText" dxfId="40" priority="45" operator="containsText" text="Mütəmadi">
      <formula>NOT(ISERROR(SEARCH("Mütəmadi",X1)))</formula>
    </cfRule>
    <cfRule type="containsText" priority="46" operator="containsText" text="Müt">
      <formula>NOT(ISERROR(SEARCH("Müt",X1)))</formula>
    </cfRule>
  </conditionalFormatting>
  <conditionalFormatting sqref="W1">
    <cfRule type="containsText" dxfId="39" priority="37" operator="containsText" text="1">
      <formula>NOT(ISERROR(SEARCH("1",W1)))</formula>
    </cfRule>
    <cfRule type="containsText" dxfId="38" priority="38" operator="containsText" text="2">
      <formula>NOT(ISERROR(SEARCH("2",W1)))</formula>
    </cfRule>
    <cfRule type="containsText" dxfId="37" priority="39" operator="containsText" text="3">
      <formula>NOT(ISERROR(SEARCH("3",W1)))</formula>
    </cfRule>
    <cfRule type="containsText" dxfId="36" priority="40" operator="containsText" text="4">
      <formula>NOT(ISERROR(SEARCH("4",W1)))</formula>
    </cfRule>
    <cfRule type="containsText" dxfId="35" priority="41" operator="containsText" text="5">
      <formula>NOT(ISERROR(SEARCH("5",W1)))</formula>
    </cfRule>
  </conditionalFormatting>
  <conditionalFormatting sqref="Z1:AA2 AB2:AF2">
    <cfRule type="containsText" dxfId="34" priority="30" operator="containsText" text="Minimal">
      <formula>NOT(ISERROR(SEARCH("Minimal",Z1)))</formula>
    </cfRule>
    <cfRule type="containsText" dxfId="33" priority="31" operator="containsText" text="Yüksək">
      <formula>NOT(ISERROR(SEARCH("Yüksək",Z1)))</formula>
    </cfRule>
    <cfRule type="containsText" dxfId="32" priority="32" operator="containsText" text="Aşağı">
      <formula>NOT(ISERROR(SEARCH("Aşağı",Z1)))</formula>
    </cfRule>
    <cfRule type="containsText" dxfId="31" priority="33" operator="containsText" text="Orta">
      <formula>NOT(ISERROR(SEARCH("Orta",Z1)))</formula>
    </cfRule>
    <cfRule type="containsText" dxfId="30" priority="34" operator="containsText" text="4">
      <formula>NOT(ISERROR(SEARCH("4",Z1)))</formula>
    </cfRule>
    <cfRule type="containsText" dxfId="29" priority="35" operator="containsText" text="Kritik">
      <formula>NOT(ISERROR(SEARCH("Kritik",Z1)))</formula>
    </cfRule>
  </conditionalFormatting>
  <conditionalFormatting sqref="Y1">
    <cfRule type="containsText" dxfId="28" priority="25" operator="containsText" text="1">
      <formula>NOT(ISERROR(SEARCH("1",Y1)))</formula>
    </cfRule>
    <cfRule type="containsText" dxfId="27" priority="26" operator="containsText" text="2">
      <formula>NOT(ISERROR(SEARCH("2",Y1)))</formula>
    </cfRule>
    <cfRule type="containsText" dxfId="26" priority="27" operator="containsText" text="3">
      <formula>NOT(ISERROR(SEARCH("3",Y1)))</formula>
    </cfRule>
    <cfRule type="containsText" dxfId="25" priority="28" operator="containsText" text="4">
      <formula>NOT(ISERROR(SEARCH("4",Y1)))</formula>
    </cfRule>
    <cfRule type="containsText" dxfId="24" priority="29" operator="containsText" text="5">
      <formula>NOT(ISERROR(SEARCH("5",Y1)))</formula>
    </cfRule>
  </conditionalFormatting>
  <conditionalFormatting sqref="V1:V2">
    <cfRule type="cellIs" dxfId="23" priority="24" operator="equal">
      <formula>"Maximum"</formula>
    </cfRule>
  </conditionalFormatting>
  <conditionalFormatting sqref="V2">
    <cfRule type="cellIs" dxfId="22" priority="20" operator="equal">
      <formula>"Low"</formula>
    </cfRule>
    <cfRule type="cellIs" dxfId="21" priority="21" operator="equal">
      <formula>"High"</formula>
    </cfRule>
    <cfRule type="cellIs" dxfId="20" priority="22" operator="equal">
      <formula>"Medium"</formula>
    </cfRule>
    <cfRule type="cellIs" dxfId="19" priority="23" operator="equal">
      <formula>"Minimal"</formula>
    </cfRule>
  </conditionalFormatting>
  <conditionalFormatting sqref="X1:X2">
    <cfRule type="cellIs" dxfId="18" priority="15" operator="equal">
      <formula>"Possible"</formula>
    </cfRule>
    <cfRule type="cellIs" dxfId="17" priority="16" operator="equal">
      <formula>"Unlikely"</formula>
    </cfRule>
    <cfRule type="cellIs" dxfId="16" priority="17" operator="equal">
      <formula>"Likely"</formula>
    </cfRule>
    <cfRule type="cellIs" dxfId="15" priority="18" operator="equal">
      <formula>"Rare"</formula>
    </cfRule>
    <cfRule type="cellIs" dxfId="14" priority="19" operator="equal">
      <formula>"Certain"</formula>
    </cfRule>
  </conditionalFormatting>
  <conditionalFormatting sqref="Z1:Z2">
    <cfRule type="cellIs" dxfId="13" priority="11" operator="equal">
      <formula>"High"</formula>
    </cfRule>
    <cfRule type="cellIs" dxfId="12" priority="12" operator="equal">
      <formula>"Medium"</formula>
    </cfRule>
    <cfRule type="cellIs" dxfId="11" priority="13" operator="equal">
      <formula>"Critic"</formula>
    </cfRule>
    <cfRule type="cellIs" dxfId="10" priority="14" operator="equal">
      <formula>"Low"</formula>
    </cfRule>
  </conditionalFormatting>
  <conditionalFormatting sqref="V2">
    <cfRule type="colorScale" priority="76">
      <colorScale>
        <cfvo type="min"/>
        <cfvo type="num" val="0"/>
        <cfvo type="max"/>
        <color rgb="FF00B050"/>
        <color rgb="FFFFFF00"/>
        <color rgb="FFFF0000"/>
      </colorScale>
    </cfRule>
    <cfRule type="colorScale" priority="77">
      <colorScale>
        <cfvo type="min"/>
        <cfvo type="max"/>
        <color rgb="FFF8696B"/>
        <color rgb="FFFCFCFF"/>
      </colorScale>
    </cfRule>
    <cfRule type="colorScale" priority="78">
      <colorScale>
        <cfvo type="min"/>
        <cfvo type="percentile" val="50"/>
        <cfvo type="max"/>
        <color rgb="FFF8696B"/>
        <color rgb="FFFFEB84"/>
        <color rgb="FF63BE7B"/>
      </colorScale>
    </cfRule>
  </conditionalFormatting>
  <conditionalFormatting sqref="W2">
    <cfRule type="colorScale" priority="79">
      <colorScale>
        <cfvo type="min"/>
        <cfvo type="max"/>
        <color rgb="FFFF7128"/>
        <color rgb="FFFFEF9C"/>
      </colorScale>
    </cfRule>
  </conditionalFormatting>
  <conditionalFormatting sqref="V1:V2">
    <cfRule type="colorScale" priority="80">
      <colorScale>
        <cfvo type="min"/>
        <cfvo type="max"/>
        <color rgb="FFFF0000"/>
        <color rgb="FFFFEF9C"/>
      </colorScale>
    </cfRule>
    <cfRule type="dataBar" priority="81">
      <dataBar>
        <cfvo type="min"/>
        <cfvo type="max"/>
        <color rgb="FF638EC6"/>
      </dataBar>
      <extLst>
        <ext xmlns:x14="http://schemas.microsoft.com/office/spreadsheetml/2009/9/main" uri="{B025F937-C7B1-47D3-B67F-A62EFF666E3E}">
          <x14:id>{948CD379-8FEF-4DC6-8936-E712509946E9}</x14:id>
        </ext>
      </extLst>
    </cfRule>
  </conditionalFormatting>
  <conditionalFormatting sqref="O2:P2">
    <cfRule type="containsText" dxfId="9" priority="6" operator="containsText" text="1">
      <formula>NOT(ISERROR(SEARCH("1",O2)))</formula>
    </cfRule>
    <cfRule type="containsText" dxfId="8" priority="7" operator="containsText" text="2">
      <formula>NOT(ISERROR(SEARCH("2",O2)))</formula>
    </cfRule>
    <cfRule type="containsText" dxfId="7" priority="8" operator="containsText" text="3">
      <formula>NOT(ISERROR(SEARCH("3",O2)))</formula>
    </cfRule>
    <cfRule type="containsText" dxfId="6" priority="9" operator="containsText" text="4">
      <formula>NOT(ISERROR(SEARCH("4",O2)))</formula>
    </cfRule>
    <cfRule type="containsText" dxfId="5" priority="10" operator="containsText" text="5">
      <formula>NOT(ISERROR(SEARCH("5",O2)))</formula>
    </cfRule>
  </conditionalFormatting>
  <conditionalFormatting sqref="Q2">
    <cfRule type="containsText" dxfId="4" priority="1" operator="containsText" text="5">
      <formula>NOT(ISERROR(SEARCH("5",Q2)))</formula>
    </cfRule>
    <cfRule type="containsText" dxfId="3" priority="2" operator="containsText" text="4">
      <formula>NOT(ISERROR(SEARCH("4",Q2)))</formula>
    </cfRule>
    <cfRule type="containsText" dxfId="2" priority="3" operator="containsText" text="3">
      <formula>NOT(ISERROR(SEARCH("3",Q2)))</formula>
    </cfRule>
    <cfRule type="containsText" dxfId="1" priority="4" operator="containsText" text="2">
      <formula>NOT(ISERROR(SEARCH("2",Q2)))</formula>
    </cfRule>
    <cfRule type="containsText" dxfId="0" priority="5" operator="containsText" text="1">
      <formula>NOT(ISERROR(SEARCH("1",Q2)))</formula>
    </cfRule>
  </conditionalFormatting>
  <dataValidations count="7">
    <dataValidation type="list" allowBlank="1" showInputMessage="1" showErrorMessage="1" sqref="B2">
      <formula1>"Əməliyyat,Maliyyə,Hüquq/Uyğunluq,lT,Reputasiya "</formula1>
    </dataValidation>
    <dataValidation type="list" allowBlank="1" showInputMessage="1" showErrorMessage="1" sqref="X2">
      <formula1>"Rare,Unlikely,Possible,Likely,Certain"</formula1>
    </dataValidation>
    <dataValidation type="list" allowBlank="1" showInputMessage="1" showErrorMessage="1" sqref="V2">
      <formula1>"Minimal,Low, Medium,High,Maximum"</formula1>
    </dataValidation>
    <dataValidation type="list" allowBlank="1" showInputMessage="1" showErrorMessage="1" sqref="J2">
      <formula1>"DA,RM,PM,İnfosec,Satınalma,Sətəm,Əməliyyat,Maliyyə,KXD,İR,PR,Hüquq,Ümumi,Təsərrüfat,RHİD,Tətbiq.p,RHAT,İT infra,Sis/Şəbəkə,Əməliyyatların avt/m,Biznes A,Məlumat və T,BİD,YKB,Çağrı M,Tələblər i.e,Müraciətlərin i.e"</formula1>
    </dataValidation>
    <dataValidation type="list" allowBlank="1" showInputMessage="1" showErrorMessage="1" sqref="O2:U2">
      <formula1>"1,2,3,4,5"</formula1>
    </dataValidation>
    <dataValidation type="list" allowBlank="1" showInputMessage="1" showErrorMessage="1" sqref="L2">
      <formula1>"Accept,Avoid,Mitigate,Transfer"</formula1>
    </dataValidation>
    <dataValidation type="list" allowBlank="1" showInputMessage="1" showErrorMessage="1" sqref="G2">
      <formula1>"İcra edilib,İcra edilməyib,İcradadır,İmtina edilib,Aktuallığını itirib,Gözləmədədir"</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948CD379-8FEF-4DC6-8936-E712509946E9}">
            <x14:dataBar minLength="0" maxLength="100" gradient="0">
              <x14:cfvo type="autoMin"/>
              <x14:cfvo type="autoMax"/>
              <x14:negativeFillColor rgb="FFFF0000"/>
              <x14:axisColor rgb="FF000000"/>
            </x14:dataBar>
          </x14:cfRule>
          <xm:sqref>V1:V2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Risk metodologiyası</vt:lpstr>
      <vt:lpstr>Sheet1</vt:lpstr>
      <vt:lpstr>Control effektivliyi</vt:lpstr>
      <vt:lpstr>RSCA nümunə</vt:lpstr>
      <vt:lpstr>'Risk metodologiyası'!_Hlk92749844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Aysel Rajabli</dc:creator>
  <cp:lastModifiedBy>Aysel Rajabli</cp:lastModifiedBy>
  <dcterms:created xsi:type="dcterms:W3CDTF">2026-04-09T10:15:34Z</dcterms:created>
  <dcterms:modified xsi:type="dcterms:W3CDTF">2026-04-27T13:54:51Z</dcterms:modified>
</cp:coreProperties>
</file>